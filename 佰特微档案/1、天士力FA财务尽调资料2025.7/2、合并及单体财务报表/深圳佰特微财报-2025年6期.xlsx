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00" activeTab="1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<sst xmlns="http://schemas.openxmlformats.org/spreadsheetml/2006/main" count="188" uniqueCount="175">
  <si>
    <t>资产负债表</t>
  </si>
  <si>
    <t>2025年06月</t>
  </si>
  <si>
    <t>会企01表</t>
  </si>
  <si>
    <t>编制单位：深圳佰特微医疗科技有限公司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</si>
  <si>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</si>
  <si>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</si>
  <si>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</si>
  <si>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</si>
  <si>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</si>
  <si>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</si>
  <si>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</si>
  <si>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</si>
  <si>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</si>
  <si>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</si>
  <si>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</si>
  <si>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</si>
  <si>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</si>
  <si>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</si>
  <si>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</si>
  <si>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</si>
  <si>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</si>
  <si>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</si>
  <si>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</si>
  <si>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</si>
  <si>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</si>
  <si>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</si>
  <si>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</si>
  <si>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</si>
  <si>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</si>
  <si>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</si>
  <si>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</si>
  <si>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</si>
  <si>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</si>
  <si>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</si>
  <si>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</si>
  <si>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</si>
  <si>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</si>
  <si>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</si>
  <si>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</si>
  <si>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</si>
  <si>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</si>
  <si>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</si>
  <si>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</si>
  <si>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</si>
  <si>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</si>
  <si>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</si>
  <si>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</si>
  <si>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</si>
  <si>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</si>
  <si>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</si>
  <si>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</si>
  <si>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</si>
  <si>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</si>
  <si>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</si>
  <si>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</si>
  <si>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</si>
  <si>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</si>
  <si>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</si>
  <si>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</si>
  <si>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</si>
  <si>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</si>
  <si>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</si>
  <si>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</si>
  <si>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</si>
  <si>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</si>
  <si>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</si>
  <si>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</si>
  <si>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</si>
  <si>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</si>
  <si>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</si>
  <si>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</si>
  <si>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</si>
  <si>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</si>
  <si>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</si>
  <si>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</si>
  <si>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</si>
  <si>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</si>
  <si>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</si>
  <si>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</si>
  <si>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</si>
  <si>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</si>
  <si>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</si>
  <si>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</si>
  <si>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</si>
  <si>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</si>
  <si>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</si>
  <si>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</si>
  <si>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会企02表</t>
  </si>
  <si>
    <t>项目名称</t>
  </si>
  <si>
    <t>本年金额</t>
  </si>
  <si>
    <t>上年金额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</si>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</sst>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5">
    <font>
      <sz val="11"/>
      <name val="宋体"/>
      <charset val="1"/>
    </font>
    <font>
      <sz val="11"/>
      <name val="黑体"/>
      <charset val="1"/>
    </font>
    <font>
      <b/>
      <sz val="14"/>
      <name val="黑体"/>
      <charset val="1"/>
    </font>
    <font>
      <b/>
      <sz val="11"/>
      <name val="黑体"/>
      <charset val="1"/>
    </font>
    <font>
      <b/>
      <sz val="18"/>
      <name val="黑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top"/>
      <protection locked="0"/>
    </xf>
  </cellStyleXfs>
  <cellXfs count="17">
    <xf numFmtId="0" fontId="0" fillId="0" borderId="0" xfId="49" applyFont="1" applyFill="1" applyBorder="1" applyAlignment="1" applyProtection="1">
      <alignment vertical="top"/>
      <protection locked="0"/>
    </xf>
    <xf numFmtId="0" fontId="0" fillId="0" borderId="0" xfId="49" applyFont="1" applyFill="1" applyBorder="1" applyAlignment="1" applyProtection="1">
      <protection locked="0"/>
    </xf>
    <xf numFmtId="0" fontId="1" fillId="0" borderId="0" xfId="49" applyFont="1" applyFill="1" applyBorder="1" applyAlignment="1" applyProtection="1">
      <protection locked="0"/>
    </xf>
    <xf numFmtId="0" fontId="2" fillId="0" borderId="0" xfId="49" applyFont="1" applyFill="1" applyBorder="1" applyAlignment="1" applyProtection="1">
      <alignment horizontal="center" vertical="center"/>
      <protection locked="0"/>
    </xf>
    <xf numFmtId="4" fontId="1" fillId="0" borderId="0" xfId="49" applyNumberFormat="1" applyFont="1" applyFill="1" applyBorder="1" applyAlignment="1" applyProtection="1">
      <alignment vertical="center"/>
      <protection locked="0"/>
    </xf>
    <xf numFmtId="176" fontId="1" fillId="0" borderId="0" xfId="49" applyNumberFormat="1" applyFont="1" applyFill="1" applyBorder="1" applyAlignment="1" applyProtection="1">
      <protection locked="0"/>
    </xf>
    <xf numFmtId="0" fontId="3" fillId="0" borderId="0" xfId="49" applyFont="1" applyFill="1" applyBorder="1" applyAlignment="1" applyProtection="1">
      <protection locked="0"/>
    </xf>
    <xf numFmtId="0" fontId="3" fillId="0" borderId="1" xfId="49" applyFont="1" applyFill="1" applyBorder="1" applyAlignment="1" applyProtection="1">
      <alignment horizontal="center"/>
      <protection locked="0"/>
    </xf>
    <xf numFmtId="0" fontId="1" fillId="0" borderId="2" xfId="49" applyFont="1" applyFill="1" applyBorder="1" applyAlignment="1" applyProtection="1">
      <protection locked="0"/>
    </xf>
    <xf numFmtId="4" fontId="1" fillId="0" borderId="3" xfId="49" applyNumberFormat="1" applyFont="1" applyFill="1" applyBorder="1" applyAlignment="1" applyProtection="1">
      <protection locked="0"/>
    </xf>
    <xf numFmtId="4" fontId="1" fillId="0" borderId="0" xfId="49" applyNumberFormat="1" applyFont="1" applyFill="1" applyBorder="1" applyAlignment="1" applyProtection="1">
      <protection locked="0"/>
    </xf>
    <xf numFmtId="0" fontId="2" fillId="0" borderId="0" xfId="49" applyFont="1" applyFill="1" applyAlignment="1" applyProtection="1">
      <alignment horizontal="center" vertical="center"/>
      <protection locked="0"/>
    </xf>
    <xf numFmtId="0" fontId="3" fillId="0" borderId="4" xfId="49" applyFont="1" applyFill="1" applyBorder="1" applyAlignment="1" applyProtection="1">
      <alignment horizontal="center"/>
      <protection locked="0"/>
    </xf>
    <xf numFmtId="0" fontId="4" fillId="0" borderId="0" xfId="49" applyFont="1" applyFill="1" applyBorder="1" applyAlignment="1" applyProtection="1">
      <alignment horizontal="center" vertical="center"/>
      <protection locked="0"/>
    </xf>
    <xf numFmtId="0" fontId="1" fillId="0" borderId="0" xfId="49" applyFont="1" applyFill="1" applyBorder="1" applyAlignment="1" applyProtection="1">
      <alignment vertical="center"/>
      <protection locked="0"/>
    </xf>
    <xf numFmtId="4" fontId="3" fillId="0" borderId="0" xfId="49" applyNumberFormat="1" applyFont="1" applyFill="1" applyBorder="1" applyAlignment="1" applyProtection="1">
      <protection locked="0"/>
    </xf>
    <xf numFmtId="0" fontId="1" fillId="0" borderId="3" xfId="49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8"/>
  <sheetViews>
    <sheetView topLeftCell="A15" workbookViewId="0">
      <selection activeCell="I17" sqref="I17"/>
    </sheetView>
  </sheetViews>
  <sheetFormatPr defaultColWidth="8.56666666666667" defaultRowHeight="15" customHeight="1" outlineLevelCol="6"/>
  <cols>
    <col min="1" max="1" width="3" style="1" customWidth="1"/>
    <col min="2" max="2" width="30.425" style="1" customWidth="1"/>
    <col min="3" max="4" width="22.2916666666667" style="1" customWidth="1"/>
    <col min="5" max="5" width="40.0916666666667" style="1" customWidth="1"/>
    <col min="6" max="7" width="22.2916666666667" style="1" customWidth="1"/>
    <col min="8" max="16383" width="8.56666666666667" style="1" customWidth="1"/>
    <col min="16384" max="16384" width="8.56666666666667" style="1"/>
  </cols>
  <sheetData>
    <row r="1" ht="29.25" customHeight="1" spans="1:7">
      <c r="A1" s="2"/>
      <c r="B1" s="13" t="s">
        <v>0</v>
      </c>
      <c r="C1" s="4"/>
      <c r="D1" s="4"/>
      <c r="E1" s="14"/>
      <c r="F1" s="4"/>
      <c r="G1" s="4"/>
    </row>
    <row r="2" customHeight="1" spans="1:7">
      <c r="A2" s="2"/>
      <c r="B2" s="6" t="s">
        <v>1</v>
      </c>
      <c r="C2" s="15"/>
      <c r="D2" s="15"/>
      <c r="E2" s="6"/>
      <c r="F2" s="15"/>
      <c r="G2" s="6" t="s">
        <v>2</v>
      </c>
    </row>
    <row r="3" customHeight="1" spans="1:7">
      <c r="A3" s="2"/>
      <c r="B3" s="6" t="s">
        <v>3</v>
      </c>
      <c r="C3" s="15"/>
      <c r="D3" s="15"/>
      <c r="E3" s="6"/>
      <c r="F3" s="15"/>
      <c r="G3" s="6" t="s">
        <v>4</v>
      </c>
    </row>
    <row r="4" customHeight="1" spans="1:7">
      <c r="A4" s="2"/>
      <c r="B4" s="7" t="s">
        <v>5</v>
      </c>
      <c r="C4" s="12" t="s">
        <v>6</v>
      </c>
      <c r="D4" s="12" t="s">
        <v>7</v>
      </c>
      <c r="E4" s="7" t="s">
        <v>8</v>
      </c>
      <c r="F4" s="12" t="s">
        <v>6</v>
      </c>
      <c r="G4" s="12" t="s">
        <v>7</v>
      </c>
    </row>
    <row r="5" customHeight="1" spans="1:7">
      <c r="A5" s="2"/>
      <c r="B5" s="8" t="s">
        <v>9</v>
      </c>
      <c r="C5" s="9"/>
      <c r="D5" s="9"/>
      <c r="E5" s="16" t="s">
        <v>10</v>
      </c>
      <c r="F5" s="9"/>
      <c r="G5" s="9"/>
    </row>
    <row r="6" customHeight="1" spans="1:7">
      <c r="A6" s="2"/>
      <c r="B6" s="8" t="s">
        <v>11</v>
      </c>
      <c r="C6" s="9">
        <v>7060039.75</v>
      </c>
      <c r="D6" s="9">
        <v>11806994</v>
      </c>
      <c r="E6" s="16" t="s">
        <v>12</v>
      </c>
      <c r="F6" s="9">
        <v>4000000</v>
      </c>
      <c r="G6" s="9">
        <v>0</v>
      </c>
    </row>
    <row r="7" customHeight="1" spans="1:7">
      <c r="A7" s="2"/>
      <c r="B7" s="8" t="s">
        <v>13</v>
      </c>
      <c r="C7" s="9">
        <v>0</v>
      </c>
      <c r="D7" s="9">
        <v>0</v>
      </c>
      <c r="E7" s="16" t="s">
        <v>14</v>
      </c>
      <c r="F7" s="9">
        <v>0</v>
      </c>
      <c r="G7" s="9">
        <v>0</v>
      </c>
    </row>
    <row r="8" customHeight="1" spans="1:7">
      <c r="A8" s="2"/>
      <c r="B8" s="8" t="s">
        <v>15</v>
      </c>
      <c r="C8" s="9">
        <v>0</v>
      </c>
      <c r="D8" s="9">
        <v>0</v>
      </c>
      <c r="E8" s="16" t="s">
        <v>16</v>
      </c>
      <c r="F8" s="9">
        <v>0</v>
      </c>
      <c r="G8" s="9">
        <v>0</v>
      </c>
    </row>
    <row r="9" customHeight="1" spans="1:7">
      <c r="A9" s="2"/>
      <c r="B9" s="8" t="s">
        <v>17</v>
      </c>
      <c r="C9" s="9">
        <v>0</v>
      </c>
      <c r="D9" s="9">
        <v>0</v>
      </c>
      <c r="E9" s="16" t="s">
        <v>18</v>
      </c>
      <c r="F9" s="9">
        <v>0</v>
      </c>
      <c r="G9" s="9">
        <v>0</v>
      </c>
    </row>
    <row r="10" customHeight="1" spans="1:7">
      <c r="A10" s="2"/>
      <c r="B10" s="8" t="s">
        <v>19</v>
      </c>
      <c r="C10" s="9">
        <v>637390</v>
      </c>
      <c r="D10" s="9">
        <v>0</v>
      </c>
      <c r="E10" s="16" t="s">
        <v>20</v>
      </c>
      <c r="F10" s="9">
        <v>3231868.11</v>
      </c>
      <c r="G10" s="9">
        <v>2403880.32</v>
      </c>
    </row>
    <row r="11" customHeight="1" spans="1:7">
      <c r="A11" s="2"/>
      <c r="B11" s="8" t="s">
        <v>21</v>
      </c>
      <c r="C11" s="9"/>
      <c r="D11" s="9"/>
      <c r="E11" s="16" t="s">
        <v>22</v>
      </c>
      <c r="F11" s="9">
        <v>2306800</v>
      </c>
      <c r="G11" s="9">
        <v>681650</v>
      </c>
    </row>
    <row r="12" customHeight="1" spans="1:7">
      <c r="A12" s="2"/>
      <c r="B12" s="8" t="s">
        <v>23</v>
      </c>
      <c r="C12" s="9">
        <v>7317282.16</v>
      </c>
      <c r="D12" s="9">
        <v>6001411.36</v>
      </c>
      <c r="E12" s="16" t="s">
        <v>24</v>
      </c>
      <c r="F12" s="9"/>
      <c r="G12" s="9"/>
    </row>
    <row r="13" customHeight="1" spans="1:7">
      <c r="A13" s="2"/>
      <c r="B13" s="8" t="s">
        <v>25</v>
      </c>
      <c r="C13" s="9">
        <v>9547075.13</v>
      </c>
      <c r="D13" s="9">
        <v>9615514.88</v>
      </c>
      <c r="E13" s="16" t="s">
        <v>26</v>
      </c>
      <c r="F13" s="9">
        <v>0</v>
      </c>
      <c r="G13" s="9">
        <v>0</v>
      </c>
    </row>
    <row r="14" customHeight="1" spans="1:7">
      <c r="A14" s="2"/>
      <c r="B14" s="8" t="s">
        <v>27</v>
      </c>
      <c r="C14" s="9">
        <v>8298444.66</v>
      </c>
      <c r="D14" s="9">
        <v>6906465.5</v>
      </c>
      <c r="E14" s="16" t="s">
        <v>28</v>
      </c>
      <c r="F14" s="9">
        <v>-3027369.17</v>
      </c>
      <c r="G14" s="9">
        <v>-2838589.88</v>
      </c>
    </row>
    <row r="15" customHeight="1" spans="1:7">
      <c r="A15" s="2"/>
      <c r="B15" s="8" t="s">
        <v>29</v>
      </c>
      <c r="C15" s="9"/>
      <c r="D15" s="9"/>
      <c r="E15" s="16" t="s">
        <v>30</v>
      </c>
      <c r="F15" s="9">
        <v>0</v>
      </c>
      <c r="G15" s="9">
        <v>0</v>
      </c>
    </row>
    <row r="16" customHeight="1" spans="1:7">
      <c r="A16" s="2"/>
      <c r="B16" s="8" t="s">
        <v>31</v>
      </c>
      <c r="C16" s="9">
        <v>0</v>
      </c>
      <c r="D16" s="9">
        <v>0</v>
      </c>
      <c r="E16" s="16" t="s">
        <v>32</v>
      </c>
      <c r="F16" s="9">
        <v>0</v>
      </c>
      <c r="G16" s="9">
        <v>0</v>
      </c>
    </row>
    <row r="17" customHeight="1" spans="1:7">
      <c r="A17" s="2"/>
      <c r="B17" s="8" t="s">
        <v>33</v>
      </c>
      <c r="C17" s="9"/>
      <c r="D17" s="9"/>
      <c r="E17" s="16" t="s">
        <v>34</v>
      </c>
      <c r="F17" s="9"/>
      <c r="G17" s="9"/>
    </row>
    <row r="18" customHeight="1" spans="1:7">
      <c r="A18" s="2"/>
      <c r="B18" s="8" t="s">
        <v>35</v>
      </c>
      <c r="C18" s="9">
        <v>0</v>
      </c>
      <c r="D18" s="9">
        <v>0</v>
      </c>
      <c r="E18" s="16" t="s">
        <v>36</v>
      </c>
      <c r="F18" s="9">
        <v>0</v>
      </c>
      <c r="G18" s="9">
        <v>0</v>
      </c>
    </row>
    <row r="19" customHeight="1" spans="1:7">
      <c r="A19" s="2"/>
      <c r="B19" s="8" t="s">
        <v>37</v>
      </c>
      <c r="C19" s="9">
        <f>C6+C7+C8+C9+C10+C11+C12+C13+C14+C15+C16+C17+C18</f>
        <v>32860231.7</v>
      </c>
      <c r="D19" s="9">
        <f>D6+D7+D8+D9+D10+D11+D12+D13+D14+D15+D16+D17+D18</f>
        <v>34330385.74</v>
      </c>
      <c r="E19" s="16" t="s">
        <v>38</v>
      </c>
      <c r="F19" s="9">
        <f>F6+F7+F8+F9+F10+F11+F12+F13+F14+F15+F16+F17+F18</f>
        <v>6511298.94</v>
      </c>
      <c r="G19" s="9">
        <f>G6+G7+G8+G9+G10+G11+G12+G13+G14+G15+G16+G17+G18</f>
        <v>246940.44</v>
      </c>
    </row>
    <row r="20" customHeight="1" spans="1:7">
      <c r="A20" s="2"/>
      <c r="B20" s="8" t="s">
        <v>39</v>
      </c>
      <c r="C20" s="9"/>
      <c r="D20" s="9"/>
      <c r="E20" s="16" t="s">
        <v>40</v>
      </c>
      <c r="F20" s="9"/>
      <c r="G20" s="9"/>
    </row>
    <row r="21" customHeight="1" spans="1:7">
      <c r="A21" s="2"/>
      <c r="B21" s="8" t="s">
        <v>41</v>
      </c>
      <c r="C21" s="9">
        <v>0</v>
      </c>
      <c r="D21" s="9">
        <v>0</v>
      </c>
      <c r="E21" s="16" t="s">
        <v>42</v>
      </c>
      <c r="F21" s="9">
        <v>0</v>
      </c>
      <c r="G21" s="9">
        <v>0</v>
      </c>
    </row>
    <row r="22" customHeight="1" spans="1:7">
      <c r="A22" s="2"/>
      <c r="B22" s="8" t="s">
        <v>43</v>
      </c>
      <c r="C22" s="9">
        <v>0</v>
      </c>
      <c r="D22" s="9">
        <v>0</v>
      </c>
      <c r="E22" s="16" t="s">
        <v>44</v>
      </c>
      <c r="F22" s="9">
        <v>0</v>
      </c>
      <c r="G22" s="9">
        <v>0</v>
      </c>
    </row>
    <row r="23" customHeight="1" spans="1:7">
      <c r="A23" s="2"/>
      <c r="B23" s="8" t="s">
        <v>45</v>
      </c>
      <c r="C23" s="9">
        <v>0</v>
      </c>
      <c r="D23" s="9">
        <v>0</v>
      </c>
      <c r="E23" s="16" t="s">
        <v>46</v>
      </c>
      <c r="F23" s="9"/>
      <c r="G23" s="9"/>
    </row>
    <row r="24" customHeight="1" spans="1:7">
      <c r="A24" s="2"/>
      <c r="B24" s="8" t="s">
        <v>47</v>
      </c>
      <c r="C24" s="9">
        <v>0</v>
      </c>
      <c r="D24" s="9">
        <v>0</v>
      </c>
      <c r="E24" s="16" t="s">
        <v>48</v>
      </c>
      <c r="F24" s="9"/>
      <c r="G24" s="9"/>
    </row>
    <row r="25" customHeight="1" spans="1:7">
      <c r="A25" s="2"/>
      <c r="B25" s="8" t="s">
        <v>49</v>
      </c>
      <c r="C25" s="9">
        <v>0</v>
      </c>
      <c r="D25" s="9">
        <v>0</v>
      </c>
      <c r="E25" s="16" t="s">
        <v>50</v>
      </c>
      <c r="F25" s="9">
        <v>0</v>
      </c>
      <c r="G25" s="9">
        <v>0</v>
      </c>
    </row>
    <row r="26" customHeight="1" spans="1:7">
      <c r="A26" s="2"/>
      <c r="B26" s="8" t="s">
        <v>51</v>
      </c>
      <c r="C26" s="9"/>
      <c r="D26" s="9"/>
      <c r="E26" s="16" t="s">
        <v>52</v>
      </c>
      <c r="F26" s="9">
        <v>0</v>
      </c>
      <c r="G26" s="9">
        <v>0</v>
      </c>
    </row>
    <row r="27" customHeight="1" spans="1:7">
      <c r="A27" s="2"/>
      <c r="B27" s="8" t="s">
        <v>53</v>
      </c>
      <c r="C27" s="9">
        <v>0</v>
      </c>
      <c r="D27" s="9">
        <v>0</v>
      </c>
      <c r="E27" s="16" t="s">
        <v>54</v>
      </c>
      <c r="F27" s="9">
        <v>0</v>
      </c>
      <c r="G27" s="9">
        <v>0</v>
      </c>
    </row>
    <row r="28" customHeight="1" spans="1:7">
      <c r="A28" s="2"/>
      <c r="B28" s="8" t="s">
        <v>55</v>
      </c>
      <c r="C28" s="9">
        <v>7621536.37</v>
      </c>
      <c r="D28" s="9">
        <v>7765953.39</v>
      </c>
      <c r="E28" s="16" t="s">
        <v>56</v>
      </c>
      <c r="F28" s="9">
        <v>0</v>
      </c>
      <c r="G28" s="9">
        <v>0</v>
      </c>
    </row>
    <row r="29" customHeight="1" spans="1:7">
      <c r="A29" s="2"/>
      <c r="B29" s="8" t="s">
        <v>57</v>
      </c>
      <c r="C29" s="9">
        <v>0</v>
      </c>
      <c r="D29" s="9">
        <v>0</v>
      </c>
      <c r="E29" s="16" t="s">
        <v>58</v>
      </c>
      <c r="F29" s="9">
        <v>0</v>
      </c>
      <c r="G29" s="9">
        <v>0</v>
      </c>
    </row>
    <row r="30" customHeight="1" spans="1:7">
      <c r="A30" s="2"/>
      <c r="B30" s="8" t="s">
        <v>59</v>
      </c>
      <c r="C30" s="9">
        <v>0</v>
      </c>
      <c r="D30" s="9">
        <v>0</v>
      </c>
      <c r="E30" s="16" t="s">
        <v>60</v>
      </c>
      <c r="F30" s="9"/>
      <c r="G30" s="9"/>
    </row>
    <row r="31" customHeight="1" spans="1:7">
      <c r="A31" s="2"/>
      <c r="B31" s="8" t="s">
        <v>61</v>
      </c>
      <c r="C31" s="9">
        <v>0</v>
      </c>
      <c r="D31" s="9">
        <v>0</v>
      </c>
      <c r="E31" s="16" t="s">
        <v>62</v>
      </c>
      <c r="F31" s="9">
        <f>F21+F22+F25+F26+F27+F28+F29+F30</f>
        <v>0</v>
      </c>
      <c r="G31" s="9">
        <f>G21+G22+G25+G26+G27+G28+G29+G30</f>
        <v>0</v>
      </c>
    </row>
    <row r="32" customHeight="1" spans="1:7">
      <c r="A32" s="2"/>
      <c r="B32" s="8" t="s">
        <v>63</v>
      </c>
      <c r="C32" s="9">
        <v>0</v>
      </c>
      <c r="D32" s="9">
        <v>0</v>
      </c>
      <c r="E32" s="16" t="s">
        <v>64</v>
      </c>
      <c r="F32" s="9">
        <f>F19+F31</f>
        <v>6511298.94</v>
      </c>
      <c r="G32" s="9">
        <f>G19+G31</f>
        <v>246940.44</v>
      </c>
    </row>
    <row r="33" customHeight="1" spans="1:7">
      <c r="A33" s="2"/>
      <c r="B33" s="8" t="s">
        <v>65</v>
      </c>
      <c r="C33" s="9">
        <v>0</v>
      </c>
      <c r="D33" s="9">
        <v>74754.06</v>
      </c>
      <c r="E33" s="16" t="s">
        <v>66</v>
      </c>
      <c r="F33" s="9"/>
      <c r="G33" s="9"/>
    </row>
    <row r="34" customHeight="1" spans="1:7">
      <c r="A34" s="2"/>
      <c r="B34" s="8" t="s">
        <v>67</v>
      </c>
      <c r="C34" s="9">
        <v>0</v>
      </c>
      <c r="D34" s="9">
        <v>0</v>
      </c>
      <c r="E34" s="16" t="s">
        <v>68</v>
      </c>
      <c r="F34" s="9">
        <v>2045858</v>
      </c>
      <c r="G34" s="9">
        <v>2045858</v>
      </c>
    </row>
    <row r="35" customHeight="1" spans="1:7">
      <c r="A35" s="2"/>
      <c r="B35" s="8" t="s">
        <v>69</v>
      </c>
      <c r="C35" s="9">
        <v>0</v>
      </c>
      <c r="D35" s="9">
        <v>0</v>
      </c>
      <c r="E35" s="16" t="s">
        <v>70</v>
      </c>
      <c r="F35" s="9">
        <v>0</v>
      </c>
      <c r="G35" s="9">
        <v>0</v>
      </c>
    </row>
    <row r="36" customHeight="1" spans="1:7">
      <c r="A36" s="2"/>
      <c r="B36" s="8" t="s">
        <v>71</v>
      </c>
      <c r="C36" s="9">
        <v>2576393.47</v>
      </c>
      <c r="D36" s="9">
        <v>2688242.05</v>
      </c>
      <c r="E36" s="16" t="s">
        <v>46</v>
      </c>
      <c r="F36" s="9"/>
      <c r="G36" s="9"/>
    </row>
    <row r="37" customHeight="1" spans="1:7">
      <c r="A37" s="2"/>
      <c r="B37" s="8" t="s">
        <v>72</v>
      </c>
      <c r="C37" s="9">
        <v>0</v>
      </c>
      <c r="D37" s="9">
        <v>0</v>
      </c>
      <c r="E37" s="16" t="s">
        <v>73</v>
      </c>
      <c r="F37" s="9"/>
      <c r="G37" s="9"/>
    </row>
    <row r="38" customHeight="1" spans="1:7">
      <c r="A38" s="2"/>
      <c r="B38" s="8" t="s">
        <v>74</v>
      </c>
      <c r="C38" s="9">
        <v>0</v>
      </c>
      <c r="D38" s="9">
        <v>0</v>
      </c>
      <c r="E38" s="16" t="s">
        <v>75</v>
      </c>
      <c r="F38" s="9">
        <v>162954142</v>
      </c>
      <c r="G38" s="9">
        <v>162954142</v>
      </c>
    </row>
    <row r="39" customHeight="1" spans="1:7">
      <c r="A39" s="2"/>
      <c r="B39" s="8" t="s">
        <v>76</v>
      </c>
      <c r="C39" s="9">
        <v>10197929.84</v>
      </c>
      <c r="D39" s="9">
        <f>D21+D22+D23+D24+D25+D26+D27+D28+D29+D30+D31+D32+D33+D34+D35+D36+D37+D38</f>
        <v>10528949.5</v>
      </c>
      <c r="E39" s="16" t="s">
        <v>77</v>
      </c>
      <c r="F39" s="9">
        <v>0</v>
      </c>
      <c r="G39" s="9">
        <v>0</v>
      </c>
    </row>
    <row r="40" customHeight="1" spans="1:7">
      <c r="A40" s="2"/>
      <c r="B40" s="8"/>
      <c r="C40" s="9"/>
      <c r="D40" s="9"/>
      <c r="E40" s="16" t="s">
        <v>78</v>
      </c>
      <c r="F40" s="9">
        <v>0</v>
      </c>
      <c r="G40" s="9">
        <v>0</v>
      </c>
    </row>
    <row r="41" customHeight="1" spans="1:7">
      <c r="A41" s="2"/>
      <c r="B41" s="8"/>
      <c r="C41" s="9"/>
      <c r="D41" s="9"/>
      <c r="E41" s="16" t="s">
        <v>79</v>
      </c>
      <c r="F41" s="9">
        <v>0</v>
      </c>
      <c r="G41" s="9">
        <v>0</v>
      </c>
    </row>
    <row r="42" customHeight="1" spans="1:7">
      <c r="A42" s="2"/>
      <c r="B42" s="8"/>
      <c r="C42" s="9"/>
      <c r="D42" s="9"/>
      <c r="E42" s="16" t="s">
        <v>80</v>
      </c>
      <c r="F42" s="9">
        <v>0</v>
      </c>
      <c r="G42" s="9">
        <v>0</v>
      </c>
    </row>
    <row r="43" customHeight="1" spans="1:7">
      <c r="A43" s="2"/>
      <c r="B43" s="8"/>
      <c r="C43" s="9"/>
      <c r="D43" s="9"/>
      <c r="E43" s="16" t="s">
        <v>81</v>
      </c>
      <c r="F43" s="9">
        <v>-128453137.4</v>
      </c>
      <c r="G43" s="9">
        <v>-120387605.2</v>
      </c>
    </row>
    <row r="44" customHeight="1" spans="1:7">
      <c r="A44" s="2"/>
      <c r="B44" s="8"/>
      <c r="C44" s="9"/>
      <c r="D44" s="9"/>
      <c r="E44" s="16" t="s">
        <v>82</v>
      </c>
      <c r="F44" s="9"/>
      <c r="G44" s="9"/>
    </row>
    <row r="45" customHeight="1" spans="1:7">
      <c r="A45" s="2"/>
      <c r="B45" s="8"/>
      <c r="C45" s="9"/>
      <c r="D45" s="9"/>
      <c r="E45" s="16" t="s">
        <v>83</v>
      </c>
      <c r="F45" s="9">
        <f>F34+F35+F38-F39+F40+F41+F42+F43+F44</f>
        <v>36546862.6</v>
      </c>
      <c r="G45" s="9">
        <f>G34+G35+G38-G39+G40+G41+G42+G43+G44</f>
        <v>44612394.8</v>
      </c>
    </row>
    <row r="46" customHeight="1" spans="1:7">
      <c r="A46" s="2"/>
      <c r="B46" s="8" t="s">
        <v>84</v>
      </c>
      <c r="C46" s="9">
        <f>C19+C39</f>
        <v>43058161.54</v>
      </c>
      <c r="D46" s="9">
        <f>D19+D39</f>
        <v>44859335.24</v>
      </c>
      <c r="E46" s="16" t="s">
        <v>85</v>
      </c>
      <c r="F46" s="9">
        <f>F32+F45</f>
        <v>43058161.54</v>
      </c>
      <c r="G46" s="9">
        <f>G32+G45</f>
        <v>44859335.24</v>
      </c>
    </row>
    <row r="47" customHeight="1" spans="1:7">
      <c r="A47" s="2"/>
      <c r="B47" s="2"/>
      <c r="C47" s="10"/>
      <c r="D47" s="10"/>
      <c r="E47" s="2"/>
      <c r="F47" s="10"/>
      <c r="G47" s="10"/>
    </row>
    <row r="48" customHeight="1" spans="1:7">
      <c r="A48" s="2"/>
      <c r="B48" s="2"/>
      <c r="C48" s="10"/>
      <c r="D48" s="10"/>
      <c r="E48" s="2"/>
      <c r="F48" s="10"/>
      <c r="G48" s="10"/>
    </row>
  </sheetData>
  <mergeCells count="3">
    <mergeCell ref="B1:G1"/>
    <mergeCell ref="B2:C2"/>
    <mergeCell ref="B3:D3"/>
  </mergeCells>
  <printOptions horizontalCentered="1"/>
  <pageMargins left="0" right="0" top="0.196527777777778" bottom="0" header="0.156944444444444" footer="0.302777777777778"/>
  <pageSetup paperSize="9" scale="80" orientation="landscape" blackAndWhite="1" useFirstPageNumber="1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51"/>
  <sheetViews>
    <sheetView tabSelected="1" workbookViewId="0">
      <selection activeCell="C17" sqref="C17:D17"/>
    </sheetView>
  </sheetViews>
  <sheetFormatPr defaultColWidth="8.56666666666667" defaultRowHeight="15" customHeight="1" outlineLevelCol="3"/>
  <cols>
    <col min="1" max="1" width="3" style="1" customWidth="1"/>
    <col min="2" max="2" width="50.0583333333333" style="1" customWidth="1"/>
    <col min="3" max="4" width="23" style="1" customWidth="1"/>
    <col min="5" max="16381" width="8.56666666666667" style="1" customWidth="1"/>
    <col min="16382" max="16384" width="8.56666666666667" style="1"/>
  </cols>
  <sheetData>
    <row r="1" ht="29.25" customHeight="1" spans="1:4">
      <c r="A1" s="2"/>
      <c r="B1" s="11" t="s">
        <v>86</v>
      </c>
      <c r="C1" s="11"/>
      <c r="D1" s="11"/>
    </row>
    <row r="2" customHeight="1" spans="1:4">
      <c r="A2" s="2"/>
      <c r="B2" s="6" t="s">
        <v>1</v>
      </c>
      <c r="C2" s="6"/>
      <c r="D2" s="6" t="s">
        <v>87</v>
      </c>
    </row>
    <row r="3" customHeight="1" spans="1:4">
      <c r="A3" s="2"/>
      <c r="B3" s="6" t="s">
        <v>3</v>
      </c>
      <c r="C3" s="6"/>
      <c r="D3" s="6" t="s">
        <v>4</v>
      </c>
    </row>
    <row r="4" customHeight="1" spans="1:4">
      <c r="A4" s="2"/>
      <c r="B4" s="7" t="s">
        <v>88</v>
      </c>
      <c r="C4" s="12" t="s">
        <v>89</v>
      </c>
      <c r="D4" s="12" t="s">
        <v>90</v>
      </c>
    </row>
    <row r="5" customHeight="1" spans="1:4">
      <c r="A5" s="2"/>
      <c r="B5" s="8" t="s">
        <v>91</v>
      </c>
      <c r="C5" s="9">
        <v>2573039.34</v>
      </c>
      <c r="D5" s="9">
        <v>2067447.84</v>
      </c>
    </row>
    <row r="6" customHeight="1" spans="1:4">
      <c r="A6" s="2"/>
      <c r="B6" s="8" t="s">
        <v>92</v>
      </c>
      <c r="C6" s="9">
        <v>779906.15</v>
      </c>
      <c r="D6" s="9">
        <v>653835.97</v>
      </c>
    </row>
    <row r="7" customHeight="1" spans="1:4">
      <c r="A7" s="2"/>
      <c r="B7" s="8" t="s">
        <v>93</v>
      </c>
      <c r="C7" s="9">
        <v>0</v>
      </c>
      <c r="D7" s="9">
        <v>0</v>
      </c>
    </row>
    <row r="8" customHeight="1" spans="1:4">
      <c r="A8" s="2"/>
      <c r="B8" s="8" t="s">
        <v>94</v>
      </c>
      <c r="C8" s="9">
        <v>1414036.34</v>
      </c>
      <c r="D8" s="9">
        <v>1384347.72</v>
      </c>
    </row>
    <row r="9" customHeight="1" spans="1:4">
      <c r="A9" s="2"/>
      <c r="B9" s="8" t="s">
        <v>95</v>
      </c>
      <c r="C9" s="9">
        <v>2781493.19</v>
      </c>
      <c r="D9" s="9">
        <v>13107186.28</v>
      </c>
    </row>
    <row r="10" customHeight="1" spans="1:4">
      <c r="A10" s="2"/>
      <c r="B10" s="8" t="s">
        <v>96</v>
      </c>
      <c r="C10" s="9">
        <v>5660702.9</v>
      </c>
      <c r="D10" s="9">
        <v>22816649</v>
      </c>
    </row>
    <row r="11" customHeight="1" spans="1:4">
      <c r="A11" s="2"/>
      <c r="B11" s="8" t="s">
        <v>97</v>
      </c>
      <c r="C11" s="9">
        <v>2432.96</v>
      </c>
      <c r="D11" s="9">
        <v>-304602.75</v>
      </c>
    </row>
    <row r="12" customHeight="1" spans="1:4">
      <c r="A12" s="2"/>
      <c r="B12" s="8" t="s">
        <v>98</v>
      </c>
      <c r="C12" s="9"/>
      <c r="D12" s="9"/>
    </row>
    <row r="13" customHeight="1" spans="1:4">
      <c r="A13" s="2"/>
      <c r="B13" s="8" t="s">
        <v>99</v>
      </c>
      <c r="C13" s="9"/>
      <c r="D13" s="9"/>
    </row>
    <row r="14" customHeight="1" spans="1:4">
      <c r="A14" s="2"/>
      <c r="B14" s="8" t="s">
        <v>100</v>
      </c>
      <c r="C14" s="9">
        <v>0</v>
      </c>
      <c r="D14" s="9">
        <v>0</v>
      </c>
    </row>
    <row r="15" customHeight="1" spans="1:4">
      <c r="A15" s="2"/>
      <c r="B15" s="8" t="s">
        <v>101</v>
      </c>
      <c r="C15" s="9">
        <v>0</v>
      </c>
      <c r="D15" s="9">
        <v>0</v>
      </c>
    </row>
    <row r="16" customHeight="1" spans="1:4">
      <c r="A16" s="2"/>
      <c r="B16" s="8" t="s">
        <v>102</v>
      </c>
      <c r="C16" s="9">
        <v>0</v>
      </c>
      <c r="D16" s="9">
        <v>0</v>
      </c>
    </row>
    <row r="17" customHeight="1" spans="1:4">
      <c r="A17" s="2"/>
      <c r="B17" s="8" t="s">
        <v>103</v>
      </c>
      <c r="C17" s="9">
        <v>0</v>
      </c>
      <c r="D17" s="9">
        <v>0</v>
      </c>
    </row>
    <row r="18" customHeight="1" spans="1:4">
      <c r="A18" s="2"/>
      <c r="B18" s="8" t="s">
        <v>104</v>
      </c>
      <c r="C18" s="9">
        <v>0</v>
      </c>
      <c r="D18" s="9">
        <v>0</v>
      </c>
    </row>
    <row r="19" customHeight="1" spans="1:4">
      <c r="A19" s="2"/>
      <c r="B19" s="8" t="s">
        <v>105</v>
      </c>
      <c r="C19" s="9">
        <v>0</v>
      </c>
      <c r="D19" s="9">
        <v>0</v>
      </c>
    </row>
    <row r="20" customHeight="1" spans="1:4">
      <c r="A20" s="2"/>
      <c r="B20" s="8" t="s">
        <v>106</v>
      </c>
      <c r="C20" s="9">
        <v>0</v>
      </c>
      <c r="D20" s="9">
        <v>0</v>
      </c>
    </row>
    <row r="21" customHeight="1" spans="1:4">
      <c r="A21" s="2"/>
      <c r="B21" s="8" t="s">
        <v>107</v>
      </c>
      <c r="C21" s="9">
        <v>0</v>
      </c>
      <c r="D21" s="9">
        <v>0</v>
      </c>
    </row>
    <row r="22" customHeight="1" spans="1:4">
      <c r="A22" s="2"/>
      <c r="B22" s="8" t="s">
        <v>108</v>
      </c>
      <c r="C22" s="9">
        <v>0</v>
      </c>
      <c r="D22" s="9">
        <v>0</v>
      </c>
    </row>
    <row r="23" customHeight="1" spans="1:4">
      <c r="A23" s="2"/>
      <c r="B23" s="8" t="s">
        <v>109</v>
      </c>
      <c r="C23" s="9">
        <f>C5-C6-C7-C8-C9-C10-C11+C14+C15+C18+C19-C20-C21+C22</f>
        <v>-8065532.2</v>
      </c>
      <c r="D23" s="9">
        <f>D5-D6-D7-D8-D9-D10-D11+D14+D15+D18+D19-D20-D21+D22</f>
        <v>-35589968.38</v>
      </c>
    </row>
    <row r="24" customHeight="1" spans="1:4">
      <c r="A24" s="2"/>
      <c r="B24" s="8" t="s">
        <v>110</v>
      </c>
      <c r="C24" s="9">
        <v>0</v>
      </c>
      <c r="D24" s="9">
        <v>2357128.44</v>
      </c>
    </row>
    <row r="25" customHeight="1" spans="1:4">
      <c r="A25" s="2"/>
      <c r="B25" s="8" t="s">
        <v>111</v>
      </c>
      <c r="C25" s="9">
        <v>0</v>
      </c>
      <c r="D25" s="9">
        <v>0</v>
      </c>
    </row>
    <row r="26" customHeight="1" spans="1:4">
      <c r="A26" s="2"/>
      <c r="B26" s="8" t="s">
        <v>112</v>
      </c>
      <c r="C26" s="9">
        <f>C23+C24-C25</f>
        <v>-8065532.2</v>
      </c>
      <c r="D26" s="9">
        <f>D23+D24-D25</f>
        <v>-33232839.94</v>
      </c>
    </row>
    <row r="27" customHeight="1" spans="1:4">
      <c r="A27" s="2"/>
      <c r="B27" s="8" t="s">
        <v>113</v>
      </c>
      <c r="C27" s="9">
        <v>0</v>
      </c>
      <c r="D27" s="9">
        <v>0</v>
      </c>
    </row>
    <row r="28" customHeight="1" spans="1:4">
      <c r="A28" s="2"/>
      <c r="B28" s="8" t="s">
        <v>114</v>
      </c>
      <c r="C28" s="9">
        <f>C26-C27</f>
        <v>-8065532.2</v>
      </c>
      <c r="D28" s="9">
        <f>D26-D27</f>
        <v>-33232839.94</v>
      </c>
    </row>
    <row r="29" customHeight="1" spans="1:4">
      <c r="A29" s="2"/>
      <c r="B29" s="8" t="s">
        <v>115</v>
      </c>
      <c r="C29" s="9"/>
      <c r="D29" s="9"/>
    </row>
    <row r="30" customHeight="1" spans="1:4">
      <c r="A30" s="2"/>
      <c r="B30" s="8" t="s">
        <v>116</v>
      </c>
      <c r="C30" s="9"/>
      <c r="D30" s="9"/>
    </row>
    <row r="31" customHeight="1" spans="1:4">
      <c r="A31" s="2"/>
      <c r="B31" s="8" t="s">
        <v>117</v>
      </c>
      <c r="C31" s="9">
        <f>C32+C38</f>
        <v>0</v>
      </c>
      <c r="D31" s="9">
        <f>D32+D38</f>
        <v>0</v>
      </c>
    </row>
    <row r="32" customHeight="1" spans="1:4">
      <c r="A32" s="2"/>
      <c r="B32" s="8" t="s">
        <v>118</v>
      </c>
      <c r="C32" s="9">
        <f>C33+C34+C37</f>
        <v>0</v>
      </c>
      <c r="D32" s="9">
        <f>D33+D34+D37</f>
        <v>0</v>
      </c>
    </row>
    <row r="33" customHeight="1" spans="1:4">
      <c r="A33" s="2"/>
      <c r="B33" s="8" t="s">
        <v>119</v>
      </c>
      <c r="C33" s="9"/>
      <c r="D33" s="9"/>
    </row>
    <row r="34" customHeight="1" spans="1:4">
      <c r="A34" s="2"/>
      <c r="B34" s="8" t="s">
        <v>120</v>
      </c>
      <c r="C34" s="9"/>
      <c r="D34" s="9"/>
    </row>
    <row r="35" customHeight="1" spans="1:4">
      <c r="A35" s="2"/>
      <c r="B35" s="8" t="s">
        <v>121</v>
      </c>
      <c r="C35" s="9"/>
      <c r="D35" s="9"/>
    </row>
    <row r="36" customHeight="1" spans="1:4">
      <c r="A36" s="2"/>
      <c r="B36" s="8" t="s">
        <v>122</v>
      </c>
      <c r="C36" s="9"/>
      <c r="D36" s="9"/>
    </row>
    <row r="37" customHeight="1" spans="1:4">
      <c r="A37" s="2"/>
      <c r="B37" s="8" t="s">
        <v>123</v>
      </c>
      <c r="C37" s="9"/>
      <c r="D37" s="9"/>
    </row>
    <row r="38" customHeight="1" spans="1:4">
      <c r="A38" s="2"/>
      <c r="B38" s="8" t="s">
        <v>124</v>
      </c>
      <c r="C38" s="9">
        <f>C39+C40+C41+C42+C44+C45</f>
        <v>0</v>
      </c>
      <c r="D38" s="9">
        <f>D39+D40+D41+D42+D44+D45</f>
        <v>0</v>
      </c>
    </row>
    <row r="39" customHeight="1" spans="1:4">
      <c r="A39" s="2"/>
      <c r="B39" s="8" t="s">
        <v>125</v>
      </c>
      <c r="C39" s="9"/>
      <c r="D39" s="9"/>
    </row>
    <row r="40" customHeight="1" spans="1:4">
      <c r="A40" s="2"/>
      <c r="B40" s="8" t="s">
        <v>126</v>
      </c>
      <c r="C40" s="9"/>
      <c r="D40" s="9"/>
    </row>
    <row r="41" customHeight="1" spans="1:4">
      <c r="A41" s="2"/>
      <c r="B41" s="8" t="s">
        <v>127</v>
      </c>
      <c r="C41" s="9"/>
      <c r="D41" s="9"/>
    </row>
    <row r="42" customHeight="1" spans="1:4">
      <c r="A42" s="2"/>
      <c r="B42" s="8" t="s">
        <v>128</v>
      </c>
      <c r="C42" s="9"/>
      <c r="D42" s="9"/>
    </row>
    <row r="43" customHeight="1" spans="1:4">
      <c r="A43" s="2"/>
      <c r="B43" s="8" t="s">
        <v>129</v>
      </c>
      <c r="C43" s="9"/>
      <c r="D43" s="9"/>
    </row>
    <row r="44" customHeight="1" spans="1:4">
      <c r="A44" s="2"/>
      <c r="B44" s="8" t="s">
        <v>130</v>
      </c>
      <c r="C44" s="9"/>
      <c r="D44" s="9"/>
    </row>
    <row r="45" customHeight="1" spans="1:4">
      <c r="A45" s="2"/>
      <c r="B45" s="8" t="s">
        <v>123</v>
      </c>
      <c r="C45" s="9"/>
      <c r="D45" s="9"/>
    </row>
    <row r="46" customHeight="1" spans="1:4">
      <c r="A46" s="2"/>
      <c r="B46" s="8" t="s">
        <v>131</v>
      </c>
      <c r="C46" s="9">
        <f>C28+C31</f>
        <v>-8065532.2</v>
      </c>
      <c r="D46" s="9">
        <f>D28+D31</f>
        <v>-33232839.94</v>
      </c>
    </row>
    <row r="47" customHeight="1" spans="1:4">
      <c r="A47" s="2"/>
      <c r="B47" s="8" t="s">
        <v>132</v>
      </c>
      <c r="C47" s="9">
        <f>C48+C49</f>
        <v>0</v>
      </c>
      <c r="D47" s="9">
        <f>D48+D49</f>
        <v>0</v>
      </c>
    </row>
    <row r="48" customHeight="1" spans="1:4">
      <c r="A48" s="2"/>
      <c r="B48" s="8" t="s">
        <v>133</v>
      </c>
      <c r="C48" s="9"/>
      <c r="D48" s="9"/>
    </row>
    <row r="49" customHeight="1" spans="2:4">
      <c r="B49" s="8" t="s">
        <v>134</v>
      </c>
      <c r="C49" s="9"/>
      <c r="D49" s="9"/>
    </row>
    <row r="50" customHeight="1" spans="2:4">
      <c r="B50" s="2"/>
      <c r="C50" s="10"/>
      <c r="D50" s="10"/>
    </row>
    <row r="51" customHeight="1" spans="2:4">
      <c r="B51" s="2"/>
      <c r="C51" s="10"/>
      <c r="D51" s="10"/>
    </row>
  </sheetData>
  <mergeCells count="1">
    <mergeCell ref="B1:D1"/>
  </mergeCells>
  <printOptions horizontalCentered="1"/>
  <pageMargins left="0" right="0" top="0.550694444444444" bottom="0.720138888888889" header="0.302777777777778" footer="0.302777777777778"/>
  <pageSetup paperSize="9" orientation="portrait" blackAndWhite="1" useFirstPageNumber="1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8"/>
  <sheetViews>
    <sheetView topLeftCell="A21" workbookViewId="0">
      <selection activeCell="G39" sqref="G39"/>
    </sheetView>
  </sheetViews>
  <sheetFormatPr defaultColWidth="8.56666666666667" defaultRowHeight="15" customHeight="1" outlineLevelCol="4"/>
  <cols>
    <col min="1" max="1" width="3" style="1" customWidth="1"/>
    <col min="2" max="2" width="54.4166666666667" style="1" customWidth="1"/>
    <col min="3" max="3" width="20.6833333333333" style="1" customWidth="1"/>
    <col min="4" max="4" width="20.4166666666667" style="1" customWidth="1"/>
    <col min="5" max="16383" width="8.56666666666667" style="1" customWidth="1"/>
    <col min="16384" max="16384" width="8.56666666666667" style="1"/>
  </cols>
  <sheetData>
    <row r="1" ht="30" customHeight="1" spans="1:5">
      <c r="A1" s="2"/>
      <c r="B1" s="3" t="s">
        <v>135</v>
      </c>
      <c r="C1" s="4"/>
      <c r="D1" s="4"/>
      <c r="E1" s="5"/>
    </row>
    <row r="2" customHeight="1" spans="1:5">
      <c r="A2" s="2"/>
      <c r="B2" s="6" t="s">
        <v>1</v>
      </c>
      <c r="C2" s="6"/>
      <c r="D2" s="6" t="s">
        <v>136</v>
      </c>
      <c r="E2" s="5"/>
    </row>
    <row r="3" customHeight="1" spans="1:5">
      <c r="A3" s="2"/>
      <c r="B3" s="6" t="s">
        <v>3</v>
      </c>
      <c r="C3" s="6"/>
      <c r="D3" s="6" t="s">
        <v>4</v>
      </c>
      <c r="E3" s="5"/>
    </row>
    <row r="4" customHeight="1" spans="1:5">
      <c r="A4" s="2"/>
      <c r="B4" s="7" t="s">
        <v>88</v>
      </c>
      <c r="C4" s="7" t="s">
        <v>89</v>
      </c>
      <c r="D4" s="7" t="s">
        <v>90</v>
      </c>
      <c r="E4" s="5"/>
    </row>
    <row r="5" customHeight="1" spans="1:5">
      <c r="A5" s="2"/>
      <c r="B5" s="8" t="s">
        <v>137</v>
      </c>
      <c r="C5" s="9"/>
      <c r="D5" s="9"/>
      <c r="E5" s="5"/>
    </row>
    <row r="6" customHeight="1" spans="1:5">
      <c r="A6" s="2"/>
      <c r="B6" s="8" t="s">
        <v>138</v>
      </c>
      <c r="C6" s="9">
        <v>1628150</v>
      </c>
      <c r="D6" s="9">
        <v>2958516.01</v>
      </c>
      <c r="E6" s="5"/>
    </row>
    <row r="7" customHeight="1" spans="1:5">
      <c r="A7" s="2"/>
      <c r="B7" s="8" t="s">
        <v>139</v>
      </c>
      <c r="C7" s="9">
        <v>0</v>
      </c>
      <c r="D7" s="9">
        <v>0</v>
      </c>
      <c r="E7" s="5"/>
    </row>
    <row r="8" customHeight="1" spans="1:5">
      <c r="A8" s="2"/>
      <c r="B8" s="8" t="s">
        <v>140</v>
      </c>
      <c r="C8" s="9">
        <v>11145.52</v>
      </c>
      <c r="D8" s="9">
        <v>2669193.1</v>
      </c>
      <c r="E8" s="5"/>
    </row>
    <row r="9" customHeight="1" spans="1:5">
      <c r="A9" s="2"/>
      <c r="B9" s="8" t="s">
        <v>141</v>
      </c>
      <c r="C9" s="9">
        <f>C6+C7+C8</f>
        <v>1639295.52</v>
      </c>
      <c r="D9" s="9">
        <f>SUM(D6:D8)</f>
        <v>5627709.11</v>
      </c>
      <c r="E9" s="5"/>
    </row>
    <row r="10" customHeight="1" spans="1:5">
      <c r="A10" s="2"/>
      <c r="B10" s="8" t="s">
        <v>142</v>
      </c>
      <c r="C10" s="9">
        <v>1207747.3</v>
      </c>
      <c r="D10" s="9">
        <v>4636665.92</v>
      </c>
      <c r="E10" s="5"/>
    </row>
    <row r="11" customHeight="1" spans="1:5">
      <c r="A11" s="2"/>
      <c r="B11" s="8" t="s">
        <v>143</v>
      </c>
      <c r="C11" s="9">
        <v>0</v>
      </c>
      <c r="D11" s="9">
        <v>17292356.25</v>
      </c>
      <c r="E11" s="5"/>
    </row>
    <row r="12" customHeight="1" spans="1:5">
      <c r="A12" s="2"/>
      <c r="B12" s="8" t="s">
        <v>144</v>
      </c>
      <c r="C12" s="9">
        <v>306537.98</v>
      </c>
      <c r="D12" s="9">
        <v>15750</v>
      </c>
      <c r="E12" s="5"/>
    </row>
    <row r="13" customHeight="1" spans="1:5">
      <c r="A13" s="2"/>
      <c r="B13" s="8" t="s">
        <v>145</v>
      </c>
      <c r="C13" s="9">
        <v>8871964.49</v>
      </c>
      <c r="D13" s="9">
        <v>19138807.05</v>
      </c>
      <c r="E13" s="5"/>
    </row>
    <row r="14" customHeight="1" spans="1:5">
      <c r="A14" s="2"/>
      <c r="B14" s="8" t="s">
        <v>146</v>
      </c>
      <c r="C14" s="9">
        <f>C10+C11+C12+C13</f>
        <v>10386249.77</v>
      </c>
      <c r="D14" s="9">
        <f>SUM(D10:D13)</f>
        <v>41083579.22</v>
      </c>
      <c r="E14" s="5"/>
    </row>
    <row r="15" customHeight="1" spans="1:5">
      <c r="A15" s="2"/>
      <c r="B15" s="8" t="s">
        <v>147</v>
      </c>
      <c r="C15" s="9">
        <f>C9-C14</f>
        <v>-8746954.25</v>
      </c>
      <c r="D15" s="9">
        <f>D9-D14</f>
        <v>-35455870.11</v>
      </c>
      <c r="E15" s="5"/>
    </row>
    <row r="16" customHeight="1" spans="1:5">
      <c r="A16" s="2"/>
      <c r="B16" s="8" t="s">
        <v>148</v>
      </c>
      <c r="C16" s="9"/>
      <c r="D16" s="9"/>
      <c r="E16" s="5"/>
    </row>
    <row r="17" customHeight="1" spans="1:5">
      <c r="A17" s="2"/>
      <c r="B17" s="8" t="s">
        <v>149</v>
      </c>
      <c r="C17" s="9">
        <v>0</v>
      </c>
      <c r="D17" s="9">
        <v>0</v>
      </c>
      <c r="E17" s="5"/>
    </row>
    <row r="18" customHeight="1" spans="1:5">
      <c r="A18" s="2"/>
      <c r="B18" s="8" t="s">
        <v>150</v>
      </c>
      <c r="C18" s="9">
        <v>0</v>
      </c>
      <c r="D18" s="9">
        <v>0</v>
      </c>
      <c r="E18" s="5"/>
    </row>
    <row r="19" customHeight="1" spans="1:5">
      <c r="A19" s="2"/>
      <c r="B19" s="8" t="s">
        <v>151</v>
      </c>
      <c r="C19" s="9">
        <v>0</v>
      </c>
      <c r="D19" s="9">
        <v>0</v>
      </c>
      <c r="E19" s="5"/>
    </row>
    <row r="20" customHeight="1" spans="1:5">
      <c r="A20" s="2"/>
      <c r="B20" s="8" t="s">
        <v>152</v>
      </c>
      <c r="C20" s="9">
        <v>0</v>
      </c>
      <c r="D20" s="9">
        <v>0</v>
      </c>
      <c r="E20" s="5"/>
    </row>
    <row r="21" customHeight="1" spans="1:5">
      <c r="A21" s="2"/>
      <c r="B21" s="8" t="s">
        <v>153</v>
      </c>
      <c r="C21" s="9">
        <v>0</v>
      </c>
      <c r="D21" s="9">
        <v>0</v>
      </c>
      <c r="E21" s="5"/>
    </row>
    <row r="22" customHeight="1" spans="1:5">
      <c r="A22" s="2"/>
      <c r="B22" s="8" t="s">
        <v>154</v>
      </c>
      <c r="C22" s="9">
        <f>C17+C18+C19+C20+C21</f>
        <v>0</v>
      </c>
      <c r="D22" s="9">
        <f>SUM(D17:D21)</f>
        <v>0</v>
      </c>
      <c r="E22" s="5"/>
    </row>
    <row r="23" customHeight="1" spans="1:5">
      <c r="A23" s="2"/>
      <c r="B23" s="8" t="s">
        <v>155</v>
      </c>
      <c r="C23" s="9">
        <v>0</v>
      </c>
      <c r="D23" s="9">
        <v>152250.22</v>
      </c>
      <c r="E23" s="5"/>
    </row>
    <row r="24" customHeight="1" spans="1:5">
      <c r="A24" s="2"/>
      <c r="B24" s="8" t="s">
        <v>156</v>
      </c>
      <c r="C24" s="9">
        <v>0</v>
      </c>
      <c r="D24" s="9">
        <v>0</v>
      </c>
      <c r="E24" s="5"/>
    </row>
    <row r="25" customHeight="1" spans="1:5">
      <c r="A25" s="2"/>
      <c r="B25" s="8" t="s">
        <v>157</v>
      </c>
      <c r="C25" s="9">
        <v>0</v>
      </c>
      <c r="D25" s="9">
        <v>0</v>
      </c>
      <c r="E25" s="5"/>
    </row>
    <row r="26" customHeight="1" spans="1:5">
      <c r="A26" s="2"/>
      <c r="B26" s="8" t="s">
        <v>158</v>
      </c>
      <c r="C26" s="9">
        <v>0</v>
      </c>
      <c r="D26" s="9">
        <v>0</v>
      </c>
      <c r="E26" s="5"/>
    </row>
    <row r="27" customHeight="1" spans="1:5">
      <c r="A27" s="2"/>
      <c r="B27" s="8" t="s">
        <v>159</v>
      </c>
      <c r="C27" s="9">
        <f>C23+C24+C25+C26</f>
        <v>0</v>
      </c>
      <c r="D27" s="9">
        <f>SUM(D23:D26)</f>
        <v>152250.22</v>
      </c>
      <c r="E27" s="5"/>
    </row>
    <row r="28" customHeight="1" spans="1:5">
      <c r="A28" s="2"/>
      <c r="B28" s="8" t="s">
        <v>160</v>
      </c>
      <c r="C28" s="9">
        <f>C22-C27</f>
        <v>0</v>
      </c>
      <c r="D28" s="9">
        <f>D22-D27</f>
        <v>-152250.22</v>
      </c>
      <c r="E28" s="5"/>
    </row>
    <row r="29" customHeight="1" spans="1:5">
      <c r="A29" s="2"/>
      <c r="B29" s="8" t="s">
        <v>161</v>
      </c>
      <c r="C29" s="9"/>
      <c r="D29" s="9"/>
      <c r="E29" s="5"/>
    </row>
    <row r="30" customHeight="1" spans="1:5">
      <c r="A30" s="2"/>
      <c r="B30" s="8" t="s">
        <v>162</v>
      </c>
      <c r="C30" s="9">
        <v>0</v>
      </c>
      <c r="D30" s="9">
        <v>25000000</v>
      </c>
      <c r="E30" s="5"/>
    </row>
    <row r="31" customHeight="1" spans="1:5">
      <c r="A31" s="2"/>
      <c r="B31" s="8" t="s">
        <v>163</v>
      </c>
      <c r="C31" s="9">
        <v>4000000</v>
      </c>
      <c r="D31" s="9">
        <v>0</v>
      </c>
      <c r="E31" s="5"/>
    </row>
    <row r="32" customHeight="1" spans="1:5">
      <c r="A32" s="2"/>
      <c r="B32" s="8" t="s">
        <v>164</v>
      </c>
      <c r="C32" s="9">
        <v>0</v>
      </c>
      <c r="D32" s="9">
        <v>0</v>
      </c>
      <c r="E32" s="5"/>
    </row>
    <row r="33" customHeight="1" spans="1:5">
      <c r="A33" s="2"/>
      <c r="B33" s="8" t="s">
        <v>165</v>
      </c>
      <c r="C33" s="9">
        <f>C30+C31+C32</f>
        <v>4000000</v>
      </c>
      <c r="D33" s="9">
        <f>SUM(D30:D32)</f>
        <v>25000000</v>
      </c>
      <c r="E33" s="5"/>
    </row>
    <row r="34" customHeight="1" spans="1:5">
      <c r="A34" s="2"/>
      <c r="B34" s="8" t="s">
        <v>166</v>
      </c>
      <c r="C34" s="9">
        <v>0</v>
      </c>
      <c r="D34" s="9">
        <v>0</v>
      </c>
      <c r="E34" s="5"/>
    </row>
    <row r="35" customHeight="1" spans="1:5">
      <c r="A35" s="2"/>
      <c r="B35" s="8" t="s">
        <v>167</v>
      </c>
      <c r="C35" s="9">
        <v>0</v>
      </c>
      <c r="D35" s="9">
        <v>0</v>
      </c>
      <c r="E35" s="5"/>
    </row>
    <row r="36" customHeight="1" spans="1:5">
      <c r="A36" s="2"/>
      <c r="B36" s="8" t="s">
        <v>168</v>
      </c>
      <c r="C36" s="9">
        <v>0</v>
      </c>
      <c r="D36" s="9">
        <v>0</v>
      </c>
      <c r="E36" s="5"/>
    </row>
    <row r="37" customHeight="1" spans="1:5">
      <c r="A37" s="2"/>
      <c r="B37" s="8" t="s">
        <v>169</v>
      </c>
      <c r="C37" s="9">
        <f>C34+C35+C36</f>
        <v>0</v>
      </c>
      <c r="D37" s="9">
        <f>SUM(D34:D36)</f>
        <v>0</v>
      </c>
      <c r="E37" s="5"/>
    </row>
    <row r="38" customHeight="1" spans="1:5">
      <c r="A38" s="2"/>
      <c r="B38" s="8" t="s">
        <v>170</v>
      </c>
      <c r="C38" s="9">
        <f>C33-C37</f>
        <v>4000000</v>
      </c>
      <c r="D38" s="9">
        <f>D33-D37</f>
        <v>25000000</v>
      </c>
      <c r="E38" s="5"/>
    </row>
    <row r="39" customHeight="1" spans="1:5">
      <c r="A39" s="2"/>
      <c r="B39" s="8" t="s">
        <v>171</v>
      </c>
      <c r="C39" s="9"/>
      <c r="D39" s="9">
        <v>0</v>
      </c>
      <c r="E39" s="5"/>
    </row>
    <row r="40" customHeight="1" spans="1:5">
      <c r="A40" s="2"/>
      <c r="B40" s="8" t="s">
        <v>172</v>
      </c>
      <c r="C40" s="9">
        <f>C15+C28+C38+C39</f>
        <v>-4746954.25</v>
      </c>
      <c r="D40" s="9">
        <f>D15+D28+D38+D39</f>
        <v>-10608120.33</v>
      </c>
      <c r="E40" s="5"/>
    </row>
    <row r="41" customHeight="1" spans="1:5">
      <c r="A41" s="2"/>
      <c r="B41" s="8" t="s">
        <v>173</v>
      </c>
      <c r="C41" s="9">
        <f>D42</f>
        <v>11806994</v>
      </c>
      <c r="D41" s="9">
        <v>22415114.33</v>
      </c>
      <c r="E41" s="5"/>
    </row>
    <row r="42" customHeight="1" spans="1:5">
      <c r="A42" s="2"/>
      <c r="B42" s="8" t="s">
        <v>174</v>
      </c>
      <c r="C42" s="9">
        <f>C40+C41</f>
        <v>7060039.75</v>
      </c>
      <c r="D42" s="9">
        <f>D40+D41</f>
        <v>11806994</v>
      </c>
      <c r="E42" s="5"/>
    </row>
    <row r="43" customHeight="1" spans="1:5">
      <c r="A43" s="2"/>
      <c r="B43" s="5"/>
      <c r="C43" s="10"/>
      <c r="D43" s="10"/>
      <c r="E43" s="5"/>
    </row>
    <row r="44" customHeight="1" spans="1:5">
      <c r="A44" s="2"/>
      <c r="B44" s="5"/>
      <c r="C44" s="10"/>
      <c r="D44" s="10"/>
      <c r="E44" s="5"/>
    </row>
    <row r="45" customHeight="1" spans="1:1">
      <c r="A45" s="2"/>
    </row>
    <row r="46" customHeight="1" spans="1:1">
      <c r="A46" s="2"/>
    </row>
    <row r="47" customHeight="1" spans="1:1">
      <c r="A47" s="2"/>
    </row>
    <row r="48" customHeight="1" spans="1:1">
      <c r="A48" s="2"/>
    </row>
  </sheetData>
  <mergeCells count="1">
    <mergeCell ref="B1:D1"/>
  </mergeCells>
  <printOptions horizontalCentered="1"/>
  <pageMargins left="0" right="0" top="0.472222222222222" bottom="0.393055555555556" header="0.302777777777778" footer="0.302777777777778"/>
  <pageSetup paperSize="9" orientation="portrait" blackAndWhite="1" useFirstPageNumber="1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2025-07-11T08:58:00Z</dcterms:created>
  <dcterms:modified xsi:type="dcterms:W3CDTF">2025-07-16T03:41:06Z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72C23680C0B3484B9F8A40FF0E52ABA8_12</vt:lpwstr>
  </property>
  <property fmtid="{D5CDD505-2E9C-101B-9397-08002B2CF9AE}" pid="3" name="KSOProductBuildVer">
    <vt:lpwstr>2052-12.1.0.21915</vt:lpwstr>
  </property>
</Properties>
</file>
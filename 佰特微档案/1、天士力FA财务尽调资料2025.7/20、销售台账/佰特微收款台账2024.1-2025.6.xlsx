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2024-2025.6销售收款台账" sheetId="5" r:id="rId1"/>
    <sheet name="2025.1-6销售收款台账" sheetId="1" r:id="rId2"/>
    <sheet name="2024年度销售收款台账" sheetId="4" r:id="rId3"/>
    <sheet name="Sheet1" sheetId="3" state="hidden" r:id="rId4"/>
  </sheets>
  <definedNames>
    <definedName name="_xlnm._FilterDatabase" localSheetId="1" hidden="1">'2025.1-6销售收款台账'!$C$1:$AL$31</definedName>
    <definedName name="_xlnm._FilterDatabase" localSheetId="2" hidden="1">'2024年度销售收款台账'!$C$1:$AL$32</definedName>
    <definedName name="_xlnm._FilterDatabase" localSheetId="0" hidden="1">'2024-2025.6销售收款台账'!$C$1:$AL$62</definedName>
  </definedNames>
  <calcPr calcId="191029"/>
  <pivotCaches>
    <pivotCache cacheId="0" r:id="rId5"/>
    <pivotCache cacheId="1" r:id="rId6"/>
    <pivotCache cacheId="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<sst xmlns="http://schemas.openxmlformats.org/spreadsheetml/2006/main" count="3508" uniqueCount="253">
  <si>
    <t>账号</t>
  </si>
  <si>
    <t>账号名称</t>
  </si>
  <si>
    <t>币种</t>
  </si>
  <si>
    <t>交易日</t>
  </si>
  <si>
    <t>交易时间</t>
  </si>
  <si>
    <t>起息日</t>
  </si>
  <si>
    <t>交易类型</t>
  </si>
  <si>
    <t>借方金额</t>
  </si>
  <si>
    <t>收款金额</t>
  </si>
  <si>
    <t>余额</t>
  </si>
  <si>
    <t>摘要</t>
  </si>
  <si>
    <t>流水号</t>
  </si>
  <si>
    <t>流程实例号</t>
  </si>
  <si>
    <t>业务名称</t>
  </si>
  <si>
    <t>用途</t>
  </si>
  <si>
    <t>业务参考号</t>
  </si>
  <si>
    <t>业务摘要</t>
  </si>
  <si>
    <t>其它摘要</t>
  </si>
  <si>
    <t>收(付)方分行名</t>
  </si>
  <si>
    <t>付方名称</t>
  </si>
  <si>
    <t>收(付)方账号</t>
  </si>
  <si>
    <t>收(付)方开户行行号</t>
  </si>
  <si>
    <t>收(付)方开户行名</t>
  </si>
  <si>
    <t>收(付)方开户行地址</t>
  </si>
  <si>
    <t>母(子)公司账号分行名</t>
  </si>
  <si>
    <t>母(子)公司账号</t>
  </si>
  <si>
    <t>母(子)公司名称</t>
  </si>
  <si>
    <t>信息标志</t>
  </si>
  <si>
    <t>有否附件信息</t>
  </si>
  <si>
    <t>冲账标志</t>
  </si>
  <si>
    <t>扩展摘要</t>
  </si>
  <si>
    <t>交易分析码</t>
  </si>
  <si>
    <t>票据号</t>
  </si>
  <si>
    <t>商务支付订单号</t>
  </si>
  <si>
    <t>内部编号</t>
  </si>
  <si>
    <t>公司一卡通号</t>
  </si>
  <si>
    <t>是否开票</t>
  </si>
  <si>
    <t>备注</t>
  </si>
  <si>
    <t>755958427710901</t>
  </si>
  <si>
    <t>深圳佰特微医疗科技有限公司</t>
  </si>
  <si>
    <t>人民币（招行）</t>
  </si>
  <si>
    <t>2024-12-20</t>
  </si>
  <si>
    <t>16:30:04</t>
  </si>
  <si>
    <t>提回对公户收款</t>
  </si>
  <si>
    <t>货款</t>
  </si>
  <si>
    <t>C05471C0019LXBZ</t>
  </si>
  <si>
    <t/>
  </si>
  <si>
    <t>上海瑞桥深息医疗科技有限公司</t>
  </si>
  <si>
    <t>1000000000005068</t>
  </si>
  <si>
    <t>上海科创银行有限公司</t>
  </si>
  <si>
    <t>77I0070V00000E209505</t>
  </si>
  <si>
    <t>CPGATR</t>
  </si>
  <si>
    <t>是</t>
  </si>
  <si>
    <t>2024-11-15</t>
  </si>
  <si>
    <t>10:52:36</t>
  </si>
  <si>
    <t>C05470D000DR9ZZ</t>
  </si>
  <si>
    <t>8864438601</t>
  </si>
  <si>
    <t>支付</t>
  </si>
  <si>
    <t>20241115104846</t>
  </si>
  <si>
    <t>121954859610001</t>
  </si>
  <si>
    <t>招商银行上海分行上海淮海支行</t>
  </si>
  <si>
    <t>上海市</t>
  </si>
  <si>
    <t>96S1470500000A186269</t>
  </si>
  <si>
    <t>2024-12-19</t>
  </si>
  <si>
    <t>17:35:59</t>
  </si>
  <si>
    <t>C05471B0019C21Z</t>
  </si>
  <si>
    <t>河南莘晟医疗科技有限公司</t>
  </si>
  <si>
    <t>41050167660800003970</t>
  </si>
  <si>
    <t>中国建设银行股份有限公司郑州科技支行</t>
  </si>
  <si>
    <t>77I0070V00000E194049</t>
  </si>
  <si>
    <t>已开票（8.8+1.1+2750+3.6w）</t>
  </si>
  <si>
    <t>求和项:收款金额</t>
  </si>
  <si>
    <t>2024-12-17</t>
  </si>
  <si>
    <t>10:01:20</t>
  </si>
  <si>
    <t>C054719000F769Z</t>
  </si>
  <si>
    <t>河南照腾医疗科技有限公司</t>
  </si>
  <si>
    <t>41050167660800004147</t>
  </si>
  <si>
    <t>77I0070V000001151759</t>
  </si>
  <si>
    <t>预付款，未发货</t>
  </si>
  <si>
    <t>2024-12-18</t>
  </si>
  <si>
    <t>09:08:44</t>
  </si>
  <si>
    <t>C05471A000E9KGZ</t>
  </si>
  <si>
    <t>77I0070V000001165690</t>
  </si>
  <si>
    <t>合肥迈缔科医疗设备有限公司</t>
  </si>
  <si>
    <t>2024-04-25</t>
  </si>
  <si>
    <t>14:58:40</t>
  </si>
  <si>
    <t>IBPS对公提回贷记</t>
  </si>
  <si>
    <t>C0546UP000V8ZEZ</t>
  </si>
  <si>
    <t>河南珏林贸易有限公司</t>
  </si>
  <si>
    <t>252090727478</t>
  </si>
  <si>
    <t>中国银行郑州嵩山南路支行</t>
  </si>
  <si>
    <t>40045054820</t>
  </si>
  <si>
    <t>NPGATR</t>
  </si>
  <si>
    <t>人民币（民生）</t>
  </si>
  <si>
    <t>上海安悦谐晨医疗器械有限公司</t>
  </si>
  <si>
    <t>甘肃百舒达医疗科技有限公司</t>
  </si>
  <si>
    <t>上海医疗器械进出口有限公司</t>
  </si>
  <si>
    <t>上海陇昇医疗器械有限公司</t>
  </si>
  <si>
    <t>安徽中鼎医疗设备有限公司</t>
  </si>
  <si>
    <t>安徽东灵医疗器械有限公司</t>
  </si>
  <si>
    <t>湛江市润丰医疗器械有限公司</t>
  </si>
  <si>
    <t>杭州千桐生物科技有限公司</t>
  </si>
  <si>
    <t>余8000未发货</t>
  </si>
  <si>
    <t>北京华脉泰科医疗器械股份有限公司</t>
  </si>
  <si>
    <t>2024-12-11</t>
  </si>
  <si>
    <t>16:50:05</t>
  </si>
  <si>
    <t>C054713001M0Q0Z</t>
  </si>
  <si>
    <t>江苏赫胥科技有限公司</t>
  </si>
  <si>
    <t>32250199743600003824</t>
  </si>
  <si>
    <t>中国建设银行股份有限公司苏州相城支行</t>
  </si>
  <si>
    <t>77I0070V00000E091005</t>
  </si>
  <si>
    <t>2024-05-29</t>
  </si>
  <si>
    <t>13:34:44</t>
  </si>
  <si>
    <t>C0546VN000L37EZ</t>
  </si>
  <si>
    <t>435182663497</t>
  </si>
  <si>
    <t>中国银行上海市通阳路支行</t>
  </si>
  <si>
    <t>40048063225</t>
  </si>
  <si>
    <t>河南亘钦亿商贸有限公司</t>
  </si>
  <si>
    <t>2024-07-29</t>
  </si>
  <si>
    <t>11:35:58</t>
  </si>
  <si>
    <t>C0546XC000KBGAZ</t>
  </si>
  <si>
    <t>40053481760</t>
  </si>
  <si>
    <t>深圳市轩威供应链管理有限公司</t>
  </si>
  <si>
    <t>2024-08-07</t>
  </si>
  <si>
    <t>22:32:59</t>
  </si>
  <si>
    <t>C0546XL001OL0TZ</t>
  </si>
  <si>
    <t>40054370478</t>
  </si>
  <si>
    <t>上海助业医疗器械有限公司</t>
  </si>
  <si>
    <t>安徽一亮医疗科技有限公司</t>
  </si>
  <si>
    <t>2025-01-02</t>
  </si>
  <si>
    <t>13:51:08</t>
  </si>
  <si>
    <t>C05471P00136JMZ</t>
  </si>
  <si>
    <t>41001992715</t>
  </si>
  <si>
    <t>湖南辰宇医疗健康产品有限公司</t>
  </si>
  <si>
    <t>2025-01-21</t>
  </si>
  <si>
    <t>18:10:41</t>
  </si>
  <si>
    <t>P42W</t>
  </si>
  <si>
    <t>C054728001NRLYZ</t>
  </si>
  <si>
    <t>8888888201851142</t>
  </si>
  <si>
    <t>浙江网商银行</t>
  </si>
  <si>
    <t>41003681278</t>
  </si>
  <si>
    <t>广西嘉上医疗器械有限公司</t>
  </si>
  <si>
    <t>10:38:25</t>
  </si>
  <si>
    <t>2024-12-02</t>
  </si>
  <si>
    <t>采购款</t>
  </si>
  <si>
    <t>C05470U000QQ1NZ</t>
  </si>
  <si>
    <t>20000573145610300000042</t>
  </si>
  <si>
    <t>合肥科技农村商业银行股份有限公司营业部</t>
  </si>
  <si>
    <t>40064931796</t>
  </si>
  <si>
    <t>金宝医学科技（深圳）有限公司</t>
  </si>
  <si>
    <t>10:43:45</t>
  </si>
  <si>
    <t>C05471B000A4PIZ</t>
  </si>
  <si>
    <t>41000780765</t>
  </si>
  <si>
    <t>总计</t>
  </si>
  <si>
    <t>16:13:35</t>
  </si>
  <si>
    <t>C05470D001BQVTZ</t>
  </si>
  <si>
    <t>637138754</t>
  </si>
  <si>
    <t>中国民生银行股份有限公司长丰支行</t>
  </si>
  <si>
    <t>40063460423</t>
  </si>
  <si>
    <t>货没发完，出了1000</t>
  </si>
  <si>
    <t>2025-02-10</t>
  </si>
  <si>
    <t>10:40:45</t>
  </si>
  <si>
    <t>C05472S0009PUYZ</t>
  </si>
  <si>
    <t>41004673409</t>
  </si>
  <si>
    <t>2024-02-28</t>
  </si>
  <si>
    <t>14:17:27</t>
  </si>
  <si>
    <t>C0546T4000RWPFZ</t>
  </si>
  <si>
    <t>7770068201851142</t>
  </si>
  <si>
    <t>40040072152</t>
  </si>
  <si>
    <t>13:48:08</t>
  </si>
  <si>
    <t>C05470D000S7C4Z</t>
  </si>
  <si>
    <t>43050175403600000741-0003</t>
  </si>
  <si>
    <t>中国建设银行股份有限公司长沙福元路支行</t>
  </si>
  <si>
    <t>77I146ZK000007284515</t>
  </si>
  <si>
    <t>2025-01-10</t>
  </si>
  <si>
    <t>12:10:56</t>
  </si>
  <si>
    <t>C05471X000MU42Z</t>
  </si>
  <si>
    <t>41002667812</t>
  </si>
  <si>
    <t>2025-01-20</t>
  </si>
  <si>
    <t>12:53:20</t>
  </si>
  <si>
    <t>C054727000QJQHZ</t>
  </si>
  <si>
    <t>41003501498</t>
  </si>
  <si>
    <t>2024-03-12</t>
  </si>
  <si>
    <t>12:22:11</t>
  </si>
  <si>
    <t>C0546TH000UW99Z</t>
  </si>
  <si>
    <t>40041189765</t>
  </si>
  <si>
    <t>2025-03-07</t>
  </si>
  <si>
    <t>09:46:59</t>
  </si>
  <si>
    <t>C05473H0008EFCZ</t>
  </si>
  <si>
    <t>41006676072</t>
  </si>
  <si>
    <t>2025-03-20</t>
  </si>
  <si>
    <t>16:08:32</t>
  </si>
  <si>
    <t>预付货款80万</t>
  </si>
  <si>
    <t>C05473U001313WZ</t>
  </si>
  <si>
    <t>1302015209200285402</t>
  </si>
  <si>
    <t>中国工商银行股份有限公司合肥新汇支行</t>
  </si>
  <si>
    <t>77I03739000002188173</t>
  </si>
  <si>
    <t>已开票39.644(24.3w+13.9w+1.444w)，余40.356待开</t>
  </si>
  <si>
    <t>2025-03-27</t>
  </si>
  <si>
    <t>09:50:02</t>
  </si>
  <si>
    <t>C0547410005C26Z</t>
  </si>
  <si>
    <t>77I0373V00000A051710</t>
  </si>
  <si>
    <t>2025-04-15</t>
  </si>
  <si>
    <t>11:09:53</t>
  </si>
  <si>
    <t>C05474K000NSHTZ</t>
  </si>
  <si>
    <t>179775067151</t>
  </si>
  <si>
    <t>中国银行安庆纺织南路支行</t>
  </si>
  <si>
    <t>41009570735</t>
  </si>
  <si>
    <t>2025-04-21</t>
  </si>
  <si>
    <t>08:43:58</t>
  </si>
  <si>
    <t>C05474Q000CZ56Z</t>
  </si>
  <si>
    <t>41009990842</t>
  </si>
  <si>
    <t>2025-04-25</t>
  </si>
  <si>
    <t>14:55:01</t>
  </si>
  <si>
    <t>2025042458755504</t>
  </si>
  <si>
    <t>C05474U000XY4AZ</t>
  </si>
  <si>
    <t>5261633059</t>
  </si>
  <si>
    <t>XFT0000A0118700000220427</t>
  </si>
  <si>
    <t>110933092410001</t>
  </si>
  <si>
    <t>招商银行北京分行北京大兴支行</t>
  </si>
  <si>
    <t>北京市</t>
  </si>
  <si>
    <t>24S04748000006783622</t>
  </si>
  <si>
    <t>2025-04-28</t>
  </si>
  <si>
    <t>10:05:46</t>
  </si>
  <si>
    <t>C05474X000H9Q9Z</t>
  </si>
  <si>
    <t>41010583282</t>
  </si>
  <si>
    <t>2025-05-16</t>
  </si>
  <si>
    <t>17:06:22</t>
  </si>
  <si>
    <t>2025051462039270</t>
  </si>
  <si>
    <t>C05475F001HX5IZ</t>
  </si>
  <si>
    <t>5317324579</t>
  </si>
  <si>
    <t>XFT0000A0122800000203347</t>
  </si>
  <si>
    <t>24S05758000001133673</t>
  </si>
  <si>
    <t>13:58:46</t>
  </si>
  <si>
    <t>2025-06-19</t>
  </si>
  <si>
    <t>2025061868503642</t>
  </si>
  <si>
    <t>C05476D000KXOYZ</t>
  </si>
  <si>
    <t>5380707294</t>
  </si>
  <si>
    <t>XFT0000A0125700000207553</t>
  </si>
  <si>
    <t>24S06766000002315025</t>
  </si>
  <si>
    <t>2025-06-27</t>
  </si>
  <si>
    <t>16:54:02</t>
  </si>
  <si>
    <t>C05476L001C56OZ</t>
  </si>
  <si>
    <t>77I06758000008505733</t>
  </si>
  <si>
    <t>2025-06-30</t>
  </si>
  <si>
    <t>11:47:31</t>
  </si>
  <si>
    <t>C05476O000YGYGZ</t>
  </si>
  <si>
    <t>262492413268</t>
  </si>
  <si>
    <t>中国银行长垣支行营业部</t>
  </si>
  <si>
    <t>41015500546</t>
  </si>
  <si>
    <t>以上合计：</t>
  </si>
  <si>
    <t>已开票82500，余217500</t>
  </si>
  <si>
    <t>货没发完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</si>
</sst>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[$-409]yyyy/mm/dd;@"/>
    <numFmt numFmtId="178" formatCode="_ * #,##0_ ;_ * \-#,##0_ ;_ * &quot;-&quot;??_ ;_ @_ "/>
    <numFmt numFmtId="179" formatCode="yyyy/m/d;@"/>
  </numFmts>
  <fonts count="28">
    <font>
      <sz val="10"/>
      <color rgb="FF000000"/>
      <name val="Arial Light"/>
      <charset val="134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rgb="FFFF0000"/>
      <name val="宋体"/>
      <charset val="134"/>
    </font>
    <font>
      <b/>
      <sz val="10"/>
      <color rgb="FF000000"/>
      <name val="Arial Light"/>
      <charset val="134"/>
    </font>
    <font>
      <sz val="10.5"/>
      <color rgb="FF333333"/>
      <name val="Helvetica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0" xfId="0" applyFont="1" applyFill="1"/>
    <xf numFmtId="176" fontId="1" fillId="0" borderId="0" xfId="0" applyNumberFormat="1" applyFont="1" applyFill="1"/>
    <xf numFmtId="0" fontId="1" fillId="0" borderId="0" xfId="0" applyFont="1" applyFill="1" applyAlignment="1">
      <alignment horizontal="center"/>
    </xf>
    <xf numFmtId="0" fontId="2" fillId="0" borderId="1" xfId="0" applyFont="1" applyFill="1" applyBorder="1"/>
    <xf numFmtId="0" fontId="3" fillId="2" borderId="1" xfId="0" applyFont="1" applyFill="1" applyBorder="1"/>
    <xf numFmtId="4" fontId="1" fillId="0" borderId="0" xfId="0" applyNumberFormat="1" applyFont="1" applyFill="1"/>
    <xf numFmtId="0" fontId="1" fillId="3" borderId="0" xfId="0" applyFont="1" applyFill="1"/>
    <xf numFmtId="177" fontId="1" fillId="3" borderId="0" xfId="0" applyNumberFormat="1" applyFont="1" applyFill="1" applyAlignment="1">
      <alignment horizontal="left"/>
    </xf>
    <xf numFmtId="177" fontId="1" fillId="0" borderId="0" xfId="0" applyNumberFormat="1" applyFont="1" applyFill="1" applyAlignment="1">
      <alignment horizontal="left"/>
    </xf>
    <xf numFmtId="14" fontId="1" fillId="0" borderId="0" xfId="0" applyNumberFormat="1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2" fillId="4" borderId="0" xfId="0" applyFont="1" applyFill="1"/>
    <xf numFmtId="176" fontId="3" fillId="2" borderId="1" xfId="0" applyNumberFormat="1" applyFont="1" applyFill="1" applyBorder="1"/>
    <xf numFmtId="176" fontId="1" fillId="3" borderId="0" xfId="0" applyNumberFormat="1" applyFont="1" applyFill="1"/>
    <xf numFmtId="176" fontId="2" fillId="4" borderId="0" xfId="0" applyNumberFormat="1" applyFont="1" applyFill="1"/>
    <xf numFmtId="0" fontId="3" fillId="0" borderId="1" xfId="0" applyFont="1" applyFill="1" applyBorder="1"/>
    <xf numFmtId="0" fontId="1" fillId="0" borderId="0" xfId="0" applyFont="1" applyFill="1" applyAlignment="1">
      <alignment wrapText="1"/>
    </xf>
    <xf numFmtId="0" fontId="3" fillId="2" borderId="1" xfId="0" applyFont="1" applyFill="1" applyBorder="1" applyAlignment="1">
      <alignment horizontal="center"/>
    </xf>
    <xf numFmtId="0" fontId="4" fillId="0" borderId="0" xfId="0" applyFont="1" applyFill="1"/>
    <xf numFmtId="0" fontId="2" fillId="0" borderId="0" xfId="0" applyFont="1" applyFill="1" applyAlignment="1">
      <alignment vertical="center"/>
    </xf>
    <xf numFmtId="178" fontId="2" fillId="0" borderId="0" xfId="0" applyNumberFormat="1" applyFont="1" applyFill="1" applyAlignment="1">
      <alignment vertical="center"/>
    </xf>
    <xf numFmtId="9" fontId="1" fillId="0" borderId="0" xfId="3" applyFont="1" applyFill="1" applyAlignment="1"/>
    <xf numFmtId="179" fontId="1" fillId="0" borderId="0" xfId="0" applyNumberFormat="1" applyFont="1" applyFill="1" applyAlignment="1">
      <alignment horizontal="center"/>
    </xf>
    <xf numFmtId="14" fontId="1" fillId="0" borderId="0" xfId="0" applyNumberFormat="1" applyFont="1" applyFill="1" applyAlignment="1">
      <alignment horizontal="center"/>
    </xf>
    <xf numFmtId="177" fontId="1" fillId="0" borderId="0" xfId="0" applyNumberFormat="1" applyFont="1" applyFill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wrapText="1"/>
    </xf>
    <xf numFmtId="9" fontId="0" fillId="0" borderId="0" xfId="3" applyFont="1" applyAlignment="1"/>
    <xf numFmtId="178" fontId="5" fillId="0" borderId="0" xfId="0" applyNumberFormat="1" applyFont="1" applyAlignment="1">
      <alignment vertical="center"/>
    </xf>
    <xf numFmtId="4" fontId="0" fillId="0" borderId="0" xfId="0" applyNumberFormat="1"/>
    <xf numFmtId="0" fontId="6" fillId="0" borderId="0" xfId="0" applyFont="1"/>
    <xf numFmtId="0" fontId="7" fillId="0" borderId="0" xfId="0" applyFont="1" applyAlignment="1">
      <alignment wrapText="1"/>
    </xf>
    <xf numFmtId="0" fontId="4" fillId="0" borderId="0" xfId="0" applyFont="1" applyFill="1" applyAlignment="1">
      <alignment wrapText="1"/>
    </xf>
    <xf numFmtId="0" fontId="1" fillId="0" borderId="0" xfId="0" applyFont="1" applyFill="1" quotePrefix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7">
    <dxf>
      <font>
        <b val="1"/>
      </font>
    </dxf>
    <dxf>
      <alignment vertical="center"/>
    </dxf>
    <dxf>
      <numFmt numFmtId="43" formatCode="_ * #,##0.00_ ;_ * \-#,##0.00_ ;_ * &quot;-&quot;??_ ;_ @_ "/>
    </dxf>
    <dxf>
      <numFmt numFmtId="180" formatCode="_ * #,##0.0_ ;_ * \-#,##0.0_ ;_ * &quot;-&quot;??_ ;_ @_ "/>
    </dxf>
    <dxf>
      <numFmt numFmtId="178" formatCode="_ * #,##0_ ;_ * \-#,##0_ ;_ * &quot;-&quot;??_ ;_ @_ "/>
    </dxf>
    <dxf>
      <numFmt numFmtId="43" formatCode="_ * #,##0.00_ ;_ * \-#,##0.00_ ;_ * &quot;-&quot;??_ ;_ @_ "/>
    </dxf>
    <dxf>
      <font>
        <b val="1"/>
      </font>
    </dxf>
    <dxf>
      <alignment vertical="center"/>
    </dxf>
    <dxf>
      <numFmt numFmtId="43" formatCode="_ * #,##0.00_ ;_ * \-#,##0.00_ ;_ * &quot;-&quot;??_ ;_ @_ "/>
    </dxf>
    <dxf>
      <numFmt numFmtId="181" formatCode="_ * #,##0.0_ ;_ * \-#,##0.0_ ;_ * &quot;-&quot;??_ ;_ @_ "/>
    </dxf>
    <dxf>
      <numFmt numFmtId="178" formatCode="_ * #,##0_ ;_ * \-#,##0_ ;_ * &quot;-&quot;??_ ;_ @_ "/>
    </dxf>
    <dxf>
      <font>
        <b val="1"/>
      </font>
    </dxf>
    <dxf>
      <alignment vertical="center"/>
    </dxf>
    <dxf>
      <alignment vertical="center"/>
    </dxf>
    <dxf>
      <numFmt numFmtId="43" formatCode="_ * #,##0.00_ ;_ * \-#,##0.00_ ;_ * &quot;-&quot;??_ ;_ @_ "/>
    </dxf>
    <dxf>
      <numFmt numFmtId="182" formatCode="_ * #,##0.0_ ;_ * \-#,##0.0_ ;_ * &quot;-&quot;??_ ;_ @_ "/>
    </dxf>
    <dxf>
      <numFmt numFmtId="178" formatCode="_ * #,##0_ ;_ * \-#,##0_ ;_ * &quot;-&quot;??_ ;_ @_ 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0"/>
      </font>
      <fill>
        <patternFill patternType="solid">
          <fgColor theme="8"/>
          <bgColor theme="8"/>
        </patternFill>
      </fill>
    </dxf>
    <dxf>
      <font>
        <b val="1"/>
        <color theme="0"/>
      </font>
      <fill>
        <patternFill patternType="solid">
          <fgColor theme="8"/>
          <bgColor theme="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fill>
        <patternFill patternType="solid">
          <fgColor theme="8" tint="0.799981688894314"/>
          <bgColor theme="8" tint="0.799981688894314"/>
        </patternFill>
      </fill>
    </dxf>
    <dxf>
      <border>
        <left style="thin">
          <color theme="8" tint="0.399975585192419"/>
        </left>
        <right style="thin">
          <color theme="8" tint="0.399975585192419"/>
        </right>
      </border>
    </dxf>
    <dxf>
      <border>
        <top style="thin">
          <color theme="8" tint="0.399975585192419"/>
        </top>
        <bottom style="thin">
          <color theme="8" tint="0.399975585192419"/>
        </bottom>
        <horizontal style="thin">
          <color theme="8" tint="0.399975585192419"/>
        </horizontal>
      </border>
    </dxf>
    <dxf>
      <fill>
        <patternFill patternType="solid">
          <fgColor theme="8" tint="0.599993896298105"/>
          <bgColor theme="8" tint="0.599993896298105"/>
        </patternFill>
      </fill>
    </dxf>
    <dxf>
      <font>
        <b val="1"/>
        <color theme="1"/>
      </font>
      <border>
        <top style="thin">
          <color theme="8" tint="-0.249977111117893"/>
        </top>
        <bottom style="medium">
          <color theme="8" tint="-0.249977111117893"/>
        </bottom>
      </border>
    </dxf>
    <dxf>
      <font>
        <b val="1"/>
        <color theme="0"/>
      </font>
      <fill>
        <patternFill patternType="solid">
          <fgColor theme="8"/>
          <bgColor theme="8"/>
        </patternFill>
      </fill>
      <border>
        <top style="medium">
          <color theme="8" tint="-0.249977111117893"/>
        </top>
      </border>
    </dxf>
    <dxf>
      <font>
        <color theme="1"/>
      </font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firstColumnStripe" dxfId="17"/>
    </tableStyle>
    <tableStyle name="PivotStylePreset2_Accent1" table="0" count="10" xr9:uid="{267968C8-6FFD-4C36-ACC1-9EA1FD1885CA}">
      <tableStyleElement type="headerRow" dxfId="33"/>
      <tableStyleElement type="totalRow" dxfId="32"/>
      <tableStyleElement type="firstRowStripe" dxfId="31"/>
      <tableStyleElement type="firstColumnStripe" dxfId="30"/>
      <tableStyleElement type="firstSubtotalRow" dxfId="29"/>
      <tableStyleElement type="secondSubtotalRow" dxfId="28"/>
      <tableStyleElement type="firstRowSubheading" dxfId="27"/>
      <tableStyleElement type="secondRowSubheading" dxfId="26"/>
      <tableStyleElement type="pageFieldLabels" dxfId="25"/>
      <tableStyleElement type="pageFieldValues" dxfId="24"/>
    </tableStyle>
    <tableStyle name="PivotStylePreset5_Accent5" table="0" count="13" xr9:uid="{0691611D-C581-4F35-A8FA-3D254A81AAE0}">
      <tableStyleElement type="wholeTable" dxfId="46"/>
      <tableStyleElement type="headerRow" dxfId="45"/>
      <tableStyleElement type="totalRow" dxfId="44"/>
      <tableStyleElement type="firstColumn" dxfId="43"/>
      <tableStyleElement type="firstRowStripe" dxfId="42"/>
      <tableStyleElement type="firstColumnStripe" dxfId="41"/>
      <tableStyleElement type="firstSubtotalColumn" dxfId="40"/>
      <tableStyleElement type="firstSubtotalRow" dxfId="39"/>
      <tableStyleElement type="secondSubtotalRow" dxfId="38"/>
      <tableStyleElement type="firstRowSubheading" dxfId="37"/>
      <tableStyleElement type="secondRowSubheading" dxfId="36"/>
      <tableStyleElement type="pageFieldLabels" dxfId="35"/>
      <tableStyleElement type="pageFieldValues" dxfId="34"/>
    </tableStyle>
  </tableStyles>
  <colors>
    <mruColors>
      <color rgb="00963A8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3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47.756412037" refreshedBy="lenovo" recordCount="32">
  <cacheSource type="worksheet">
    <worksheetSource ref="C1:T1048576" sheet="2025.1-6销售收款台账"/>
  </cacheSource>
  <cacheFields count="18">
    <cacheField name="币种" numFmtId="0">
      <sharedItems containsBlank="1" count="4">
        <s v="人民币（民生）"/>
        <s v="人民币（招行）"/>
        <s v="以上合计："/>
        <m/>
      </sharedItems>
    </cacheField>
    <cacheField name="交易日" numFmtId="0">
      <sharedItems containsBlank="1" containsDate="1" containsMixedTypes="1" count="30">
        <d v="2025-01-18T00:00:00"/>
        <d v="2025-02-07T00:00:00"/>
        <d v="2025-01-15T00:00:00"/>
        <s v="2025-01-02"/>
        <s v="2025-01-21"/>
        <d v="2025-02-06T00:00:00"/>
        <s v="2025-02-10"/>
        <d v="2025-02-13T00:00:00"/>
        <s v="2025-01-10"/>
        <s v="2025-01-20"/>
        <d v="2025-02-26T00:00:00"/>
        <s v="2025-03-07"/>
        <s v="2025-03-20"/>
        <s v="2025-03-27"/>
        <s v="2025-04-15"/>
        <d v="2025-04-18T00:00:00"/>
        <s v="2025-04-21"/>
        <s v="2025-04-25"/>
        <d v="2025-04-27T00:00:00"/>
        <s v="2025-04-28"/>
        <d v="2025-05-15T00:00:00"/>
        <s v="2025-05-16"/>
        <d v="2025-05-27T00:00:00"/>
        <d v="2025-05-28T00:00:00"/>
        <d v="2025-06-10T00:00:00"/>
        <d v="2025-06-24T00:00:00"/>
        <d v="2025-06-19T00:00:00"/>
        <s v="2025-06-27"/>
        <s v="2025-06-30"/>
        <m/>
      </sharedItems>
    </cacheField>
    <cacheField name="交易时间" numFmtId="0">
      <sharedItems containsBlank="1" count="17">
        <m/>
        <s v="13:51:08"/>
        <s v="18:10:41"/>
        <s v="10:40:45"/>
        <s v="12:10:56"/>
        <s v="12:53:20"/>
        <s v="09:46:59"/>
        <s v="16:08:32"/>
        <s v="09:50:02"/>
        <s v="11:09:53"/>
        <s v="08:43:58"/>
        <s v="14:55:01"/>
        <s v="10:05:46"/>
        <s v="17:06:22"/>
        <s v="13:58:46"/>
        <s v="16:54:02"/>
        <s v="11:47:31"/>
      </sharedItems>
    </cacheField>
    <cacheField name="起息日" numFmtId="0">
      <sharedItems containsBlank="1" count="17">
        <m/>
        <s v="2025-01-02"/>
        <s v="2025-01-21"/>
        <s v="2025-02-10"/>
        <s v="2025-01-10"/>
        <s v="2025-01-20"/>
        <s v="2025-03-07"/>
        <s v="2025-03-20"/>
        <s v="2025-03-27"/>
        <s v="2025-04-15"/>
        <s v="2025-04-21"/>
        <s v="2025-04-25"/>
        <s v="2025-04-28"/>
        <s v="2025-05-16"/>
        <s v="2025-06-19"/>
        <s v="2025-06-27"/>
        <s v="2025-06-30"/>
      </sharedItems>
    </cacheField>
    <cacheField name="交易类型" numFmtId="0">
      <sharedItems containsBlank="1" count="3">
        <m/>
        <s v="IBPS对公提回贷记"/>
        <s v="提回对公户收款"/>
      </sharedItems>
    </cacheField>
    <cacheField name="借方金额" numFmtId="0">
      <sharedItems containsString="0" containsBlank="1" containsNonDate="0" count="1">
        <m/>
      </sharedItems>
    </cacheField>
    <cacheField name="收款金额" numFmtId="176">
      <sharedItems containsString="0" containsBlank="1" containsNumber="1" containsInteger="1" minValue="0" maxValue="3882700" count="21">
        <n v="10200"/>
        <n v="6000"/>
        <n v="5000"/>
        <n v="4200"/>
        <n v="4000"/>
        <n v="3000"/>
        <n v="2400"/>
        <n v="2000"/>
        <n v="592000"/>
        <n v="15000"/>
        <n v="800000"/>
        <n v="582000"/>
        <n v="10000"/>
        <n v="173250"/>
        <n v="4800"/>
        <n v="878000"/>
        <n v="8500"/>
        <n v="708750"/>
        <n v="7000"/>
        <n v="3882700"/>
        <m/>
      </sharedItems>
    </cacheField>
    <cacheField name="余额" numFmtId="0">
      <sharedItems containsString="0" containsBlank="1" containsNumber="1" minValue="0" maxValue="8827986.65" count="17">
        <m/>
        <n v="8827986.65"/>
        <n v="5867754.1"/>
        <n v="5847070.18"/>
        <n v="6832743.96"/>
        <n v="5928870.73"/>
        <n v="4367847.77"/>
        <n v="4369623.74"/>
        <n v="4843043.99"/>
        <n v="3038312.87"/>
        <n v="3048312.87"/>
        <n v="2892643.2"/>
        <n v="2790443.2"/>
        <n v="1699373.97"/>
        <n v="1072587.73"/>
        <n v="1781926.27"/>
        <n v="1788926.27"/>
      </sharedItems>
    </cacheField>
    <cacheField name="摘要" numFmtId="0">
      <sharedItems containsBlank="1" count="8">
        <s v="货款"/>
        <s v="P42W"/>
        <s v="采购款"/>
        <s v="预付货款80万"/>
        <s v="2025042458755504"/>
        <s v="2025051462039270"/>
        <m/>
        <s v="2025061868503642"/>
      </sharedItems>
    </cacheField>
    <cacheField name="流水号" numFmtId="0">
      <sharedItems containsBlank="1" count="17">
        <m/>
        <s v="C05471P00136JMZ"/>
        <s v="C054728001NRLYZ"/>
        <s v="C05472S0009PUYZ"/>
        <s v="C05471X000MU42Z"/>
        <s v="C054727000QJQHZ"/>
        <s v="C05473H0008EFCZ"/>
        <s v="C05473U001313WZ"/>
        <s v="C0547410005C26Z"/>
        <s v="C05474K000NSHTZ"/>
        <s v="C05474Q000CZ56Z"/>
        <s v="C05474U000XY4AZ"/>
        <s v="C05474X000H9Q9Z"/>
        <s v="C05475F001HX5IZ"/>
        <s v="C05476D000KXOYZ"/>
        <s v="C05476L001C56OZ"/>
        <s v="C05476O000YGYGZ"/>
      </sharedItems>
    </cacheField>
    <cacheField name="流程实例号" numFmtId="0">
      <sharedItems containsBlank="1" count="5">
        <m/>
        <s v=""/>
        <s v="5261633059"/>
        <s v="5317324579"/>
        <s v="5380707294"/>
      </sharedItems>
    </cacheField>
    <cacheField name="业务名称" numFmtId="0">
      <sharedItems containsBlank="1" count="3">
        <m/>
        <s v=""/>
        <s v="支付"/>
      </sharedItems>
    </cacheField>
    <cacheField name="用途" numFmtId="0">
      <sharedItems containsBlank="1" count="2">
        <m/>
        <s v=""/>
      </sharedItems>
    </cacheField>
    <cacheField name="业务参考号" numFmtId="0">
      <sharedItems containsBlank="1" count="5">
        <m/>
        <s v=""/>
        <s v="XFT0000A0118700000220427"/>
        <s v="XFT0000A0122800000203347"/>
        <s v="XFT0000A0125700000207553"/>
      </sharedItems>
    </cacheField>
    <cacheField name="业务摘要" numFmtId="0">
      <sharedItems containsBlank="1" count="2">
        <m/>
        <s v=""/>
      </sharedItems>
    </cacheField>
    <cacheField name="其它摘要" numFmtId="0">
      <sharedItems containsBlank="1" count="2">
        <m/>
        <s v=""/>
      </sharedItems>
    </cacheField>
    <cacheField name="收(付)方分行名" numFmtId="0">
      <sharedItems containsBlank="1" count="2">
        <m/>
        <s v=""/>
      </sharedItems>
    </cacheField>
    <cacheField name="付方名称" numFmtId="0">
      <sharedItems containsBlank="1" count="12">
        <s v="甘肃百舒达医疗科技有限公司"/>
        <s v="湛江市润丰医疗器械有限公司"/>
        <s v="上海陇昇医疗器械有限公司"/>
        <s v="杭州千桐生物科技有限公司"/>
        <s v="安徽东灵医疗器械有限公司"/>
        <s v="安徽中鼎医疗设备有限公司"/>
        <s v="上海瑞桥深息医疗科技有限公司"/>
        <s v="深圳市轩威供应链管理有限公司"/>
        <s v="合肥迈缔科医疗设备有限公司"/>
        <s v="北京华脉泰科医疗器械股份有限公司"/>
        <s v="河南亘钦亿商贸有限公司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47.7576157407" refreshedBy="lenovo" recordCount="33">
  <cacheSource type="worksheet">
    <worksheetSource ref="C1:T1048576" sheet="2024年度销售收款台账"/>
  </cacheSource>
  <cacheFields count="18">
    <cacheField name="币种" numFmtId="0">
      <sharedItems containsBlank="1" count="4">
        <s v="人民币（招行）"/>
        <s v="人民币（民生）"/>
        <s v="以上合计："/>
        <m/>
      </sharedItems>
    </cacheField>
    <cacheField name="交易日" numFmtId="0">
      <sharedItems containsBlank="1" containsDate="1" containsMixedTypes="1" count="28">
        <s v="2024-12-20"/>
        <s v="2024-11-15"/>
        <s v="2024-12-19"/>
        <s v="2024-12-17"/>
        <s v="2024-12-18"/>
        <s v="2024-04-25"/>
        <n v="45412"/>
        <n v="45623"/>
        <n v="45531"/>
        <n v="45629"/>
        <n v="45615"/>
        <n v="45657"/>
        <n v="45530"/>
        <s v="2024-12-11"/>
        <n v="45597"/>
        <s v="2024-05-29"/>
        <s v="2024-07-29"/>
        <s v="2024-08-07"/>
        <d v="2024-12-02T00:00:00"/>
        <d v="2024-04-19T00:00:00"/>
        <s v="2024-02-28"/>
        <d v="2024-11-27T00:00:00"/>
        <d v="2024-11-05T00:00:00"/>
        <s v="2024-03-12"/>
        <d v="2024-07-10T00:00:00"/>
        <d v="2024-05-11T00:00:00"/>
        <d v="2024-11-19T00:00:00"/>
        <m/>
      </sharedItems>
    </cacheField>
    <cacheField name="交易时间" numFmtId="0">
      <sharedItems containsBlank="1" count="17">
        <s v="16:30:04"/>
        <s v="10:52:36"/>
        <s v="17:35:59"/>
        <s v="10:01:20"/>
        <s v="09:08:44"/>
        <s v="14:58:40"/>
        <m/>
        <s v="16:50:05"/>
        <s v="13:34:44"/>
        <s v="11:35:58"/>
        <s v="22:32:59"/>
        <s v="10:38:25"/>
        <s v="10:43:45"/>
        <s v="16:13:35"/>
        <s v="14:17:27"/>
        <s v="13:48:08"/>
        <s v="12:22:11"/>
      </sharedItems>
    </cacheField>
    <cacheField name="起息日" numFmtId="0">
      <sharedItems containsBlank="1" count="14">
        <s v="2024-12-20"/>
        <s v="2024-11-15"/>
        <s v="2024-12-19"/>
        <s v="2024-12-17"/>
        <s v="2024-12-18"/>
        <s v="2024-04-25"/>
        <m/>
        <s v="2024-12-11"/>
        <s v="2024-05-29"/>
        <s v="2024-07-29"/>
        <s v="2024-08-07"/>
        <s v="2024-12-02"/>
        <s v="2024-02-28"/>
        <s v="2024-03-12"/>
      </sharedItems>
    </cacheField>
    <cacheField name="交易类型" numFmtId="0">
      <sharedItems containsBlank="1" count="3">
        <s v="提回对公户收款"/>
        <s v="IBPS对公提回贷记"/>
        <m/>
      </sharedItems>
    </cacheField>
    <cacheField name="借方金额" numFmtId="0">
      <sharedItems containsString="0" containsBlank="1" containsNonDate="0" count="1">
        <m/>
      </sharedItems>
    </cacheField>
    <cacheField name="收款金额" numFmtId="176">
      <sharedItems containsString="0" containsBlank="1" containsNumber="1" minValue="0" maxValue="2947410.08" count="29">
        <n v="1696000"/>
        <n v="430000"/>
        <n v="300000"/>
        <n v="190000"/>
        <n v="110000"/>
        <n v="50000"/>
        <n v="42000"/>
        <n v="13600"/>
        <n v="12260.08"/>
        <n v="10200"/>
        <n v="10020"/>
        <n v="9600"/>
        <n v="9000"/>
        <n v="8000"/>
        <n v="7500"/>
        <n v="6800"/>
        <n v="6000"/>
        <n v="4000"/>
        <n v="3000"/>
        <n v="2100"/>
        <n v="2000"/>
        <n v="1700"/>
        <n v="1500"/>
        <n v="1200"/>
        <n v="1000"/>
        <n v="750"/>
        <n v="180"/>
        <n v="2947410.08"/>
        <m/>
      </sharedItems>
    </cacheField>
    <cacheField name="余额" numFmtId="0">
      <sharedItems containsString="0" containsBlank="1" containsNumber="1" minValue="0" maxValue="14741661.84" count="17">
        <n v="9066097.41"/>
        <n v="8138928.19"/>
        <n v="7342174.23"/>
        <n v="6928174.23"/>
        <n v="7038174.23"/>
        <n v="5139125.58"/>
        <m/>
        <n v="6917571.47"/>
        <n v="12032417.84"/>
        <n v="14741661.84"/>
        <n v="13683438.24"/>
        <n v="7893689.07"/>
        <n v="7042174.23"/>
        <n v="8043177.12"/>
        <n v="5278100.21"/>
        <n v="8140928.19"/>
        <n v="3620787.59"/>
      </sharedItems>
    </cacheField>
    <cacheField name="摘要" numFmtId="0">
      <sharedItems containsBlank="1" count="4">
        <s v="货款"/>
        <s v="采购款"/>
        <s v="P42W"/>
        <m/>
      </sharedItems>
    </cacheField>
    <cacheField name="流水号" numFmtId="0">
      <sharedItems containsBlank="1" count="17">
        <s v="C05471C0019LXBZ"/>
        <s v="C05470D000DR9ZZ"/>
        <s v="C05471B0019C21Z"/>
        <s v="C054719000F769Z"/>
        <s v="C05471A000E9KGZ"/>
        <s v="C0546UP000V8ZEZ"/>
        <m/>
        <s v="C054713001M0Q0Z"/>
        <s v="C0546VN000L37EZ"/>
        <s v="C0546XC000KBGAZ"/>
        <s v="C0546XL001OL0TZ"/>
        <s v="C05470U000QQ1NZ"/>
        <s v="C05471B000A4PIZ"/>
        <s v="C05470D001BQVTZ"/>
        <s v="C0546T4000RWPFZ"/>
        <s v="C05470D000S7C4Z"/>
        <s v="C0546TH000UW99Z"/>
      </sharedItems>
    </cacheField>
    <cacheField name="流程实例号" numFmtId="0">
      <sharedItems containsBlank="1" count="3">
        <s v=""/>
        <s v="8864438601"/>
        <m/>
      </sharedItems>
    </cacheField>
    <cacheField name="业务名称" numFmtId="0">
      <sharedItems containsBlank="1" count="3">
        <s v=""/>
        <s v="支付"/>
        <m/>
      </sharedItems>
    </cacheField>
    <cacheField name="用途" numFmtId="0">
      <sharedItems containsBlank="1" count="2">
        <s v=""/>
        <m/>
      </sharedItems>
    </cacheField>
    <cacheField name="业务参考号" numFmtId="0">
      <sharedItems containsBlank="1" count="3">
        <s v=""/>
        <s v="20241115104846"/>
        <m/>
      </sharedItems>
    </cacheField>
    <cacheField name="业务摘要" numFmtId="0">
      <sharedItems containsBlank="1" count="2">
        <s v=""/>
        <m/>
      </sharedItems>
    </cacheField>
    <cacheField name="其它摘要" numFmtId="0">
      <sharedItems containsBlank="1" count="2">
        <s v=""/>
        <m/>
      </sharedItems>
    </cacheField>
    <cacheField name="收(付)方分行名" numFmtId="0">
      <sharedItems containsBlank="1" count="2">
        <s v=""/>
        <m/>
      </sharedItems>
    </cacheField>
    <cacheField name="付方名称" numFmtId="0">
      <sharedItems containsBlank="1" count="18">
        <s v="上海瑞桥深息医疗科技有限公司"/>
        <s v="河南莘晟医疗科技有限公司"/>
        <s v="河南照腾医疗科技有限公司"/>
        <s v="河南珏林贸易有限公司"/>
        <s v="上海安悦谐晨医疗器械有限公司"/>
        <s v="甘肃百舒达医疗科技有限公司"/>
        <s v="上海医疗器械进出口有限公司"/>
        <s v="安徽东灵医疗器械有限公司"/>
        <s v="杭州千桐生物科技有限公司"/>
        <s v="江苏赫胥科技有限公司"/>
        <s v="上海陇昇医疗器械有限公司"/>
        <s v="安徽中鼎医疗设备有限公司"/>
        <s v="安徽一亮医疗科技有限公司"/>
        <s v="上海助业医疗器械有限公司"/>
        <s v="湖南辰宇医疗健康产品有限公司"/>
        <s v="广西嘉上医疗器械有限公司"/>
        <s v="金宝医学科技（深圳）有限公司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47.7593171296" refreshedBy="lenovo" recordCount="64">
  <cacheSource type="worksheet">
    <worksheetSource ref="C1:T1048576" sheet="2024-2025.6销售收款台账"/>
  </cacheSource>
  <cacheFields count="18">
    <cacheField name="币种" numFmtId="0">
      <sharedItems containsBlank="1" count="4">
        <s v="人民币（招行）"/>
        <s v="人民币（民生）"/>
        <m/>
        <s v="以上合计："/>
      </sharedItems>
    </cacheField>
    <cacheField name="交易日" numFmtId="0">
      <sharedItems containsBlank="1" containsDate="1" containsMixedTypes="1" count="55">
        <s v="2024-12-20"/>
        <s v="2024-11-15"/>
        <s v="2024-12-19"/>
        <s v="2024-12-17"/>
        <s v="2024-12-18"/>
        <s v="2024-04-25"/>
        <d v="2024-04-30T00:00:00"/>
        <d v="2024-11-27T00:00:00"/>
        <d v="2024-08-27T00:00:00"/>
        <d v="2024-12-03T00:00:00"/>
        <d v="2025-01-18T00:00:00"/>
        <d v="2025-02-07T00:00:00"/>
        <d v="2024-11-19T00:00:00"/>
        <d v="2024-12-31T00:00:00"/>
        <d v="2024-08-26T00:00:00"/>
        <s v="2024-12-11"/>
        <d v="2024-11-01T00:00:00"/>
        <s v="2024-05-29"/>
        <s v="2024-07-29"/>
        <s v="2024-08-07"/>
        <d v="2025-01-15T00:00:00"/>
        <s v="2025-01-02"/>
        <s v="2025-01-21"/>
        <d v="2024-12-02T00:00:00"/>
        <d v="2025-02-06T00:00:00"/>
        <d v="2024-04-19T00:00:00"/>
        <s v="2025-02-10"/>
        <d v="2025-02-13T00:00:00"/>
        <s v="2024-02-28"/>
        <s v="2025-01-10"/>
        <s v="2025-01-20"/>
        <d v="2024-11-05T00:00:00"/>
        <s v="2024-03-12"/>
        <d v="2024-07-10T00:00:00"/>
        <d v="2024-05-11T00:00:00"/>
        <d v="2025-02-26T00:00:00"/>
        <s v="2025-03-07"/>
        <s v="2025-03-20"/>
        <s v="2025-03-27"/>
        <s v="2025-04-15"/>
        <d v="2025-04-18T00:00:00"/>
        <s v="2025-04-21"/>
        <s v="2025-04-25"/>
        <d v="2025-04-27T00:00:00"/>
        <s v="2025-04-28"/>
        <d v="2025-05-15T00:00:00"/>
        <s v="2025-05-16"/>
        <d v="2025-05-27T00:00:00"/>
        <d v="2025-05-28T00:00:00"/>
        <d v="2025-06-10T00:00:00"/>
        <d v="2025-06-24T00:00:00"/>
        <d v="2025-06-19T00:00:00"/>
        <s v="2025-06-27"/>
        <s v="2025-06-30"/>
        <m/>
      </sharedItems>
    </cacheField>
    <cacheField name="交易时间" numFmtId="0">
      <sharedItems containsBlank="1" count="33">
        <s v="16:30:04"/>
        <s v="10:52:36"/>
        <s v="17:35:59"/>
        <s v="10:01:20"/>
        <s v="09:08:44"/>
        <s v="14:58:40"/>
        <m/>
        <s v="16:50:05"/>
        <s v="13:34:44"/>
        <s v="11:35:58"/>
        <s v="22:32:59"/>
        <s v="13:51:08"/>
        <s v="18:10:41"/>
        <s v="10:38:25"/>
        <s v="10:43:45"/>
        <s v="16:13:35"/>
        <s v="10:40:45"/>
        <s v="14:17:27"/>
        <s v="13:48:08"/>
        <s v="12:10:56"/>
        <s v="12:53:20"/>
        <s v="12:22:11"/>
        <s v="09:46:59"/>
        <s v="16:08:32"/>
        <s v="09:50:02"/>
        <s v="11:09:53"/>
        <s v="08:43:58"/>
        <s v="14:55:01"/>
        <s v="10:05:46"/>
        <s v="17:06:22"/>
        <s v="13:58:46"/>
        <s v="16:54:02"/>
        <s v="11:47:31"/>
      </sharedItems>
    </cacheField>
    <cacheField name="起息日" numFmtId="0">
      <sharedItems containsBlank="1" count="30">
        <s v="2024-12-20"/>
        <s v="2024-11-15"/>
        <s v="2024-12-19"/>
        <s v="2024-12-17"/>
        <s v="2024-12-18"/>
        <s v="2024-04-25"/>
        <m/>
        <s v="2024-12-11"/>
        <s v="2024-05-29"/>
        <s v="2024-07-29"/>
        <s v="2024-08-07"/>
        <s v="2025-01-02"/>
        <s v="2025-01-21"/>
        <s v="2024-12-02"/>
        <s v="2025-02-10"/>
        <s v="2024-02-28"/>
        <s v="2025-01-10"/>
        <s v="2025-01-20"/>
        <s v="2024-03-12"/>
        <s v="2025-03-07"/>
        <s v="2025-03-20"/>
        <s v="2025-03-27"/>
        <s v="2025-04-15"/>
        <s v="2025-04-21"/>
        <s v="2025-04-25"/>
        <s v="2025-04-28"/>
        <s v="2025-05-16"/>
        <s v="2025-06-19"/>
        <s v="2025-06-27"/>
        <s v="2025-06-30"/>
      </sharedItems>
    </cacheField>
    <cacheField name="交易类型" numFmtId="0">
      <sharedItems containsBlank="1" count="3">
        <s v="提回对公户收款"/>
        <s v="IBPS对公提回贷记"/>
        <m/>
      </sharedItems>
    </cacheField>
    <cacheField name="借方金额" numFmtId="0">
      <sharedItems containsString="0" containsBlank="1" containsNonDate="0" count="1">
        <m/>
      </sharedItems>
    </cacheField>
    <cacheField name="收款金额" numFmtId="176">
      <sharedItems containsString="0" containsBlank="1" containsNumber="1" minValue="0" maxValue="6830110.08" count="43">
        <n v="1696000"/>
        <n v="430000"/>
        <n v="300000"/>
        <n v="190000"/>
        <n v="110000"/>
        <n v="50000"/>
        <n v="42000"/>
        <n v="13600"/>
        <n v="12260.08"/>
        <n v="10200"/>
        <n v="10020"/>
        <n v="9600"/>
        <n v="9000"/>
        <n v="8000"/>
        <n v="7500"/>
        <n v="6800"/>
        <n v="6000"/>
        <n v="5000"/>
        <n v="4200"/>
        <n v="4000"/>
        <n v="3000"/>
        <n v="2400"/>
        <n v="2100"/>
        <n v="2000"/>
        <n v="1700"/>
        <n v="1500"/>
        <n v="1200"/>
        <n v="1000"/>
        <n v="750"/>
        <n v="180"/>
        <n v="592000"/>
        <n v="15000"/>
        <n v="800000"/>
        <n v="582000"/>
        <n v="10000"/>
        <n v="173250"/>
        <n v="4800"/>
        <n v="878000"/>
        <n v="8500"/>
        <n v="708750"/>
        <n v="7000"/>
        <m/>
        <n v="6830110.08"/>
      </sharedItems>
    </cacheField>
    <cacheField name="余额" numFmtId="0">
      <sharedItems containsString="0" containsBlank="1" containsNumber="1" minValue="0" maxValue="14741661.84" count="33">
        <n v="9066097.41"/>
        <n v="8138928.19"/>
        <n v="7342174.23"/>
        <n v="6928174.23"/>
        <n v="7038174.23"/>
        <n v="5139125.58"/>
        <m/>
        <n v="6917571.47"/>
        <n v="12032417.84"/>
        <n v="14741661.84"/>
        <n v="13683438.24"/>
        <n v="8827986.65"/>
        <n v="5867754.1"/>
        <n v="7893689.07"/>
        <n v="7042174.23"/>
        <n v="8043177.12"/>
        <n v="5847070.18"/>
        <n v="5278100.21"/>
        <n v="8140928.19"/>
        <n v="6832743.96"/>
        <n v="5928870.73"/>
        <n v="3620787.59"/>
        <n v="4367847.77"/>
        <n v="4369623.74"/>
        <n v="4843043.99"/>
        <n v="3038312.87"/>
        <n v="3048312.87"/>
        <n v="2892643.2"/>
        <n v="2790443.2"/>
        <n v="1699373.97"/>
        <n v="1072587.73"/>
        <n v="1781926.27"/>
        <n v="1788926.27"/>
      </sharedItems>
    </cacheField>
    <cacheField name="摘要" numFmtId="0">
      <sharedItems containsBlank="1" count="8">
        <s v="货款"/>
        <s v="P42W"/>
        <s v="采购款"/>
        <s v="预付货款80万"/>
        <s v="2025042458755504"/>
        <s v="2025051462039270"/>
        <m/>
        <s v="2025061868503642"/>
      </sharedItems>
    </cacheField>
    <cacheField name="流水号" numFmtId="0">
      <sharedItems containsBlank="1" count="33">
        <s v="C05471C0019LXBZ"/>
        <s v="C05470D000DR9ZZ"/>
        <s v="C05471B0019C21Z"/>
        <s v="C054719000F769Z"/>
        <s v="C05471A000E9KGZ"/>
        <s v="C0546UP000V8ZEZ"/>
        <m/>
        <s v="C054713001M0Q0Z"/>
        <s v="C0546VN000L37EZ"/>
        <s v="C0546XC000KBGAZ"/>
        <s v="C0546XL001OL0TZ"/>
        <s v="C05471P00136JMZ"/>
        <s v="C054728001NRLYZ"/>
        <s v="C05470U000QQ1NZ"/>
        <s v="C05471B000A4PIZ"/>
        <s v="C05470D001BQVTZ"/>
        <s v="C05472S0009PUYZ"/>
        <s v="C0546T4000RWPFZ"/>
        <s v="C05470D000S7C4Z"/>
        <s v="C05471X000MU42Z"/>
        <s v="C054727000QJQHZ"/>
        <s v="C0546TH000UW99Z"/>
        <s v="C05473H0008EFCZ"/>
        <s v="C05473U001313WZ"/>
        <s v="C0547410005C26Z"/>
        <s v="C05474K000NSHTZ"/>
        <s v="C05474Q000CZ56Z"/>
        <s v="C05474U000XY4AZ"/>
        <s v="C05474X000H9Q9Z"/>
        <s v="C05475F001HX5IZ"/>
        <s v="C05476D000KXOYZ"/>
        <s v="C05476L001C56OZ"/>
        <s v="C05476O000YGYGZ"/>
      </sharedItems>
    </cacheField>
    <cacheField name="流程实例号" numFmtId="0">
      <sharedItems containsBlank="1" count="6">
        <s v=""/>
        <s v="8864438601"/>
        <m/>
        <s v="5261633059"/>
        <s v="5317324579"/>
        <s v="5380707294"/>
      </sharedItems>
    </cacheField>
    <cacheField name="业务名称" numFmtId="0">
      <sharedItems containsBlank="1" count="3">
        <s v=""/>
        <s v="支付"/>
        <m/>
      </sharedItems>
    </cacheField>
    <cacheField name="用途" numFmtId="0">
      <sharedItems containsBlank="1" count="2">
        <s v=""/>
        <m/>
      </sharedItems>
    </cacheField>
    <cacheField name="业务参考号" numFmtId="0">
      <sharedItems containsBlank="1" count="6">
        <s v=""/>
        <s v="20241115104846"/>
        <m/>
        <s v="XFT0000A0118700000220427"/>
        <s v="XFT0000A0122800000203347"/>
        <s v="XFT0000A0125700000207553"/>
      </sharedItems>
    </cacheField>
    <cacheField name="业务摘要" numFmtId="0">
      <sharedItems containsBlank="1" count="2">
        <s v=""/>
        <m/>
      </sharedItems>
    </cacheField>
    <cacheField name="其它摘要" numFmtId="0">
      <sharedItems containsBlank="1" count="2">
        <s v=""/>
        <m/>
      </sharedItems>
    </cacheField>
    <cacheField name="收(付)方分行名" numFmtId="0">
      <sharedItems containsBlank="1" count="2">
        <s v=""/>
        <m/>
      </sharedItems>
    </cacheField>
    <cacheField name="付方名称" numFmtId="0">
      <sharedItems containsBlank="1" count="23">
        <s v="上海瑞桥深息医疗科技有限公司"/>
        <s v="河南莘晟医疗科技有限公司"/>
        <s v="河南照腾医疗科技有限公司"/>
        <s v="河南珏林贸易有限公司"/>
        <s v="上海安悦谐晨医疗器械有限公司"/>
        <s v="甘肃百舒达医疗科技有限公司"/>
        <s v="上海医疗器械进出口有限公司"/>
        <s v="安徽东灵医疗器械有限公司"/>
        <s v="杭州千桐生物科技有限公司"/>
        <s v="江苏赫胥科技有限公司"/>
        <s v="上海陇昇医疗器械有限公司"/>
        <s v="湛江市润丰医疗器械有限公司"/>
        <s v="安徽中鼎医疗设备有限公司"/>
        <s v="安徽一亮医疗科技有限公司"/>
        <s v="上海助业医疗器械有限公司"/>
        <s v="湖南辰宇医疗健康产品有限公司"/>
        <s v="广西嘉上医疗器械有限公司"/>
        <s v="金宝医学科技（深圳）有限公司"/>
        <s v="深圳市轩威供应链管理有限公司"/>
        <s v="合肥迈缔科医疗设备有限公司"/>
        <s v="北京华脉泰科医疗器械股份有限公司"/>
        <s v="河南亘钦亿商贸有限公司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2"/>
    <x v="0"/>
    <x v="0"/>
    <x v="0"/>
    <x v="0"/>
    <x v="1"/>
    <x v="0"/>
    <x v="0"/>
    <x v="0"/>
    <x v="0"/>
    <x v="0"/>
    <x v="0"/>
    <x v="0"/>
    <x v="0"/>
    <x v="0"/>
    <x v="0"/>
    <x v="1"/>
  </r>
  <r>
    <x v="1"/>
    <x v="3"/>
    <x v="1"/>
    <x v="1"/>
    <x v="1"/>
    <x v="0"/>
    <x v="2"/>
    <x v="1"/>
    <x v="0"/>
    <x v="1"/>
    <x v="1"/>
    <x v="1"/>
    <x v="1"/>
    <x v="1"/>
    <x v="1"/>
    <x v="1"/>
    <x v="1"/>
    <x v="2"/>
  </r>
  <r>
    <x v="1"/>
    <x v="4"/>
    <x v="2"/>
    <x v="2"/>
    <x v="1"/>
    <x v="0"/>
    <x v="3"/>
    <x v="2"/>
    <x v="1"/>
    <x v="2"/>
    <x v="1"/>
    <x v="1"/>
    <x v="1"/>
    <x v="1"/>
    <x v="1"/>
    <x v="1"/>
    <x v="1"/>
    <x v="2"/>
  </r>
  <r>
    <x v="0"/>
    <x v="5"/>
    <x v="0"/>
    <x v="0"/>
    <x v="0"/>
    <x v="0"/>
    <x v="4"/>
    <x v="0"/>
    <x v="0"/>
    <x v="0"/>
    <x v="0"/>
    <x v="0"/>
    <x v="0"/>
    <x v="0"/>
    <x v="0"/>
    <x v="0"/>
    <x v="0"/>
    <x v="3"/>
  </r>
  <r>
    <x v="1"/>
    <x v="6"/>
    <x v="3"/>
    <x v="3"/>
    <x v="1"/>
    <x v="0"/>
    <x v="5"/>
    <x v="3"/>
    <x v="1"/>
    <x v="3"/>
    <x v="1"/>
    <x v="1"/>
    <x v="1"/>
    <x v="1"/>
    <x v="1"/>
    <x v="1"/>
    <x v="1"/>
    <x v="2"/>
  </r>
  <r>
    <x v="0"/>
    <x v="7"/>
    <x v="0"/>
    <x v="0"/>
    <x v="0"/>
    <x v="0"/>
    <x v="6"/>
    <x v="0"/>
    <x v="0"/>
    <x v="0"/>
    <x v="0"/>
    <x v="0"/>
    <x v="0"/>
    <x v="0"/>
    <x v="0"/>
    <x v="0"/>
    <x v="0"/>
    <x v="4"/>
  </r>
  <r>
    <x v="1"/>
    <x v="8"/>
    <x v="4"/>
    <x v="4"/>
    <x v="1"/>
    <x v="0"/>
    <x v="7"/>
    <x v="4"/>
    <x v="1"/>
    <x v="4"/>
    <x v="1"/>
    <x v="1"/>
    <x v="1"/>
    <x v="1"/>
    <x v="1"/>
    <x v="1"/>
    <x v="1"/>
    <x v="2"/>
  </r>
  <r>
    <x v="1"/>
    <x v="9"/>
    <x v="5"/>
    <x v="5"/>
    <x v="1"/>
    <x v="0"/>
    <x v="7"/>
    <x v="5"/>
    <x v="2"/>
    <x v="5"/>
    <x v="1"/>
    <x v="1"/>
    <x v="1"/>
    <x v="1"/>
    <x v="1"/>
    <x v="1"/>
    <x v="1"/>
    <x v="5"/>
  </r>
  <r>
    <x v="0"/>
    <x v="10"/>
    <x v="0"/>
    <x v="0"/>
    <x v="0"/>
    <x v="0"/>
    <x v="8"/>
    <x v="0"/>
    <x v="0"/>
    <x v="0"/>
    <x v="0"/>
    <x v="0"/>
    <x v="0"/>
    <x v="0"/>
    <x v="0"/>
    <x v="0"/>
    <x v="0"/>
    <x v="6"/>
  </r>
  <r>
    <x v="0"/>
    <x v="10"/>
    <x v="0"/>
    <x v="0"/>
    <x v="0"/>
    <x v="0"/>
    <x v="5"/>
    <x v="0"/>
    <x v="0"/>
    <x v="0"/>
    <x v="0"/>
    <x v="0"/>
    <x v="0"/>
    <x v="0"/>
    <x v="0"/>
    <x v="0"/>
    <x v="0"/>
    <x v="7"/>
  </r>
  <r>
    <x v="1"/>
    <x v="11"/>
    <x v="6"/>
    <x v="6"/>
    <x v="1"/>
    <x v="0"/>
    <x v="9"/>
    <x v="6"/>
    <x v="2"/>
    <x v="6"/>
    <x v="1"/>
    <x v="1"/>
    <x v="1"/>
    <x v="1"/>
    <x v="1"/>
    <x v="1"/>
    <x v="1"/>
    <x v="5"/>
  </r>
  <r>
    <x v="1"/>
    <x v="12"/>
    <x v="7"/>
    <x v="7"/>
    <x v="2"/>
    <x v="0"/>
    <x v="10"/>
    <x v="7"/>
    <x v="3"/>
    <x v="7"/>
    <x v="1"/>
    <x v="1"/>
    <x v="1"/>
    <x v="1"/>
    <x v="1"/>
    <x v="1"/>
    <x v="1"/>
    <x v="8"/>
  </r>
  <r>
    <x v="1"/>
    <x v="13"/>
    <x v="8"/>
    <x v="8"/>
    <x v="2"/>
    <x v="0"/>
    <x v="11"/>
    <x v="8"/>
    <x v="0"/>
    <x v="8"/>
    <x v="1"/>
    <x v="1"/>
    <x v="1"/>
    <x v="1"/>
    <x v="1"/>
    <x v="1"/>
    <x v="1"/>
    <x v="6"/>
  </r>
  <r>
    <x v="1"/>
    <x v="14"/>
    <x v="9"/>
    <x v="9"/>
    <x v="1"/>
    <x v="0"/>
    <x v="1"/>
    <x v="9"/>
    <x v="0"/>
    <x v="9"/>
    <x v="1"/>
    <x v="1"/>
    <x v="1"/>
    <x v="1"/>
    <x v="1"/>
    <x v="1"/>
    <x v="1"/>
    <x v="4"/>
  </r>
  <r>
    <x v="0"/>
    <x v="15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6"/>
    <x v="10"/>
    <x v="10"/>
    <x v="1"/>
    <x v="0"/>
    <x v="12"/>
    <x v="10"/>
    <x v="1"/>
    <x v="10"/>
    <x v="1"/>
    <x v="1"/>
    <x v="1"/>
    <x v="1"/>
    <x v="1"/>
    <x v="1"/>
    <x v="1"/>
    <x v="2"/>
  </r>
  <r>
    <x v="1"/>
    <x v="17"/>
    <x v="11"/>
    <x v="11"/>
    <x v="2"/>
    <x v="0"/>
    <x v="2"/>
    <x v="11"/>
    <x v="4"/>
    <x v="11"/>
    <x v="2"/>
    <x v="2"/>
    <x v="1"/>
    <x v="2"/>
    <x v="1"/>
    <x v="1"/>
    <x v="1"/>
    <x v="9"/>
  </r>
  <r>
    <x v="0"/>
    <x v="18"/>
    <x v="0"/>
    <x v="0"/>
    <x v="0"/>
    <x v="0"/>
    <x v="13"/>
    <x v="0"/>
    <x v="0"/>
    <x v="0"/>
    <x v="0"/>
    <x v="0"/>
    <x v="0"/>
    <x v="0"/>
    <x v="0"/>
    <x v="0"/>
    <x v="0"/>
    <x v="6"/>
  </r>
  <r>
    <x v="1"/>
    <x v="19"/>
    <x v="12"/>
    <x v="12"/>
    <x v="1"/>
    <x v="0"/>
    <x v="14"/>
    <x v="12"/>
    <x v="0"/>
    <x v="12"/>
    <x v="1"/>
    <x v="1"/>
    <x v="1"/>
    <x v="1"/>
    <x v="1"/>
    <x v="1"/>
    <x v="1"/>
    <x v="4"/>
  </r>
  <r>
    <x v="0"/>
    <x v="20"/>
    <x v="0"/>
    <x v="0"/>
    <x v="0"/>
    <x v="0"/>
    <x v="1"/>
    <x v="0"/>
    <x v="0"/>
    <x v="0"/>
    <x v="0"/>
    <x v="0"/>
    <x v="0"/>
    <x v="0"/>
    <x v="0"/>
    <x v="0"/>
    <x v="0"/>
    <x v="1"/>
  </r>
  <r>
    <x v="1"/>
    <x v="21"/>
    <x v="13"/>
    <x v="13"/>
    <x v="2"/>
    <x v="0"/>
    <x v="2"/>
    <x v="13"/>
    <x v="5"/>
    <x v="13"/>
    <x v="3"/>
    <x v="2"/>
    <x v="1"/>
    <x v="3"/>
    <x v="1"/>
    <x v="1"/>
    <x v="1"/>
    <x v="9"/>
  </r>
  <r>
    <x v="0"/>
    <x v="22"/>
    <x v="0"/>
    <x v="0"/>
    <x v="0"/>
    <x v="0"/>
    <x v="1"/>
    <x v="0"/>
    <x v="6"/>
    <x v="0"/>
    <x v="0"/>
    <x v="0"/>
    <x v="0"/>
    <x v="0"/>
    <x v="0"/>
    <x v="0"/>
    <x v="0"/>
    <x v="1"/>
  </r>
  <r>
    <x v="0"/>
    <x v="23"/>
    <x v="0"/>
    <x v="0"/>
    <x v="0"/>
    <x v="0"/>
    <x v="15"/>
    <x v="0"/>
    <x v="6"/>
    <x v="0"/>
    <x v="0"/>
    <x v="0"/>
    <x v="0"/>
    <x v="0"/>
    <x v="0"/>
    <x v="0"/>
    <x v="0"/>
    <x v="6"/>
  </r>
  <r>
    <x v="0"/>
    <x v="24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25"/>
    <x v="0"/>
    <x v="0"/>
    <x v="0"/>
    <x v="0"/>
    <x v="16"/>
    <x v="0"/>
    <x v="0"/>
    <x v="0"/>
    <x v="0"/>
    <x v="0"/>
    <x v="0"/>
    <x v="0"/>
    <x v="0"/>
    <x v="0"/>
    <x v="0"/>
    <x v="0"/>
  </r>
  <r>
    <x v="1"/>
    <x v="26"/>
    <x v="14"/>
    <x v="14"/>
    <x v="2"/>
    <x v="0"/>
    <x v="5"/>
    <x v="14"/>
    <x v="7"/>
    <x v="14"/>
    <x v="4"/>
    <x v="2"/>
    <x v="1"/>
    <x v="4"/>
    <x v="1"/>
    <x v="1"/>
    <x v="1"/>
    <x v="9"/>
  </r>
  <r>
    <x v="1"/>
    <x v="27"/>
    <x v="15"/>
    <x v="15"/>
    <x v="2"/>
    <x v="0"/>
    <x v="17"/>
    <x v="15"/>
    <x v="0"/>
    <x v="15"/>
    <x v="1"/>
    <x v="1"/>
    <x v="1"/>
    <x v="1"/>
    <x v="1"/>
    <x v="1"/>
    <x v="1"/>
    <x v="6"/>
  </r>
  <r>
    <x v="1"/>
    <x v="28"/>
    <x v="16"/>
    <x v="16"/>
    <x v="1"/>
    <x v="0"/>
    <x v="18"/>
    <x v="16"/>
    <x v="0"/>
    <x v="16"/>
    <x v="1"/>
    <x v="1"/>
    <x v="1"/>
    <x v="1"/>
    <x v="1"/>
    <x v="1"/>
    <x v="1"/>
    <x v="10"/>
  </r>
  <r>
    <x v="2"/>
    <x v="29"/>
    <x v="0"/>
    <x v="0"/>
    <x v="0"/>
    <x v="0"/>
    <x v="19"/>
    <x v="0"/>
    <x v="6"/>
    <x v="0"/>
    <x v="0"/>
    <x v="0"/>
    <x v="0"/>
    <x v="0"/>
    <x v="0"/>
    <x v="0"/>
    <x v="0"/>
    <x v="11"/>
  </r>
  <r>
    <x v="3"/>
    <x v="29"/>
    <x v="0"/>
    <x v="0"/>
    <x v="0"/>
    <x v="0"/>
    <x v="20"/>
    <x v="0"/>
    <x v="6"/>
    <x v="0"/>
    <x v="0"/>
    <x v="0"/>
    <x v="0"/>
    <x v="0"/>
    <x v="0"/>
    <x v="0"/>
    <x v="0"/>
    <x v="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3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0"/>
    <x v="0"/>
    <x v="1"/>
    <x v="1"/>
    <x v="0"/>
    <x v="1"/>
    <x v="1"/>
    <x v="1"/>
    <x v="0"/>
    <x v="1"/>
    <x v="0"/>
    <x v="0"/>
    <x v="0"/>
    <x v="0"/>
  </r>
  <r>
    <x v="0"/>
    <x v="2"/>
    <x v="2"/>
    <x v="2"/>
    <x v="0"/>
    <x v="0"/>
    <x v="2"/>
    <x v="2"/>
    <x v="0"/>
    <x v="2"/>
    <x v="0"/>
    <x v="0"/>
    <x v="0"/>
    <x v="0"/>
    <x v="0"/>
    <x v="0"/>
    <x v="0"/>
    <x v="1"/>
  </r>
  <r>
    <x v="0"/>
    <x v="3"/>
    <x v="3"/>
    <x v="3"/>
    <x v="0"/>
    <x v="0"/>
    <x v="3"/>
    <x v="3"/>
    <x v="0"/>
    <x v="3"/>
    <x v="0"/>
    <x v="0"/>
    <x v="0"/>
    <x v="0"/>
    <x v="0"/>
    <x v="0"/>
    <x v="0"/>
    <x v="2"/>
  </r>
  <r>
    <x v="0"/>
    <x v="4"/>
    <x v="4"/>
    <x v="4"/>
    <x v="0"/>
    <x v="0"/>
    <x v="4"/>
    <x v="4"/>
    <x v="0"/>
    <x v="4"/>
    <x v="0"/>
    <x v="0"/>
    <x v="0"/>
    <x v="0"/>
    <x v="0"/>
    <x v="0"/>
    <x v="0"/>
    <x v="2"/>
  </r>
  <r>
    <x v="0"/>
    <x v="5"/>
    <x v="5"/>
    <x v="5"/>
    <x v="1"/>
    <x v="0"/>
    <x v="5"/>
    <x v="5"/>
    <x v="0"/>
    <x v="5"/>
    <x v="0"/>
    <x v="0"/>
    <x v="0"/>
    <x v="0"/>
    <x v="0"/>
    <x v="0"/>
    <x v="0"/>
    <x v="3"/>
  </r>
  <r>
    <x v="1"/>
    <x v="6"/>
    <x v="6"/>
    <x v="6"/>
    <x v="2"/>
    <x v="0"/>
    <x v="6"/>
    <x v="6"/>
    <x v="0"/>
    <x v="6"/>
    <x v="2"/>
    <x v="2"/>
    <x v="1"/>
    <x v="2"/>
    <x v="1"/>
    <x v="1"/>
    <x v="1"/>
    <x v="4"/>
  </r>
  <r>
    <x v="1"/>
    <x v="7"/>
    <x v="6"/>
    <x v="6"/>
    <x v="2"/>
    <x v="0"/>
    <x v="7"/>
    <x v="6"/>
    <x v="0"/>
    <x v="6"/>
    <x v="2"/>
    <x v="2"/>
    <x v="1"/>
    <x v="2"/>
    <x v="1"/>
    <x v="1"/>
    <x v="1"/>
    <x v="5"/>
  </r>
  <r>
    <x v="1"/>
    <x v="8"/>
    <x v="6"/>
    <x v="6"/>
    <x v="2"/>
    <x v="0"/>
    <x v="8"/>
    <x v="6"/>
    <x v="0"/>
    <x v="6"/>
    <x v="2"/>
    <x v="2"/>
    <x v="1"/>
    <x v="2"/>
    <x v="1"/>
    <x v="1"/>
    <x v="1"/>
    <x v="6"/>
  </r>
  <r>
    <x v="1"/>
    <x v="9"/>
    <x v="6"/>
    <x v="6"/>
    <x v="2"/>
    <x v="0"/>
    <x v="9"/>
    <x v="6"/>
    <x v="0"/>
    <x v="6"/>
    <x v="2"/>
    <x v="2"/>
    <x v="1"/>
    <x v="2"/>
    <x v="1"/>
    <x v="1"/>
    <x v="1"/>
    <x v="5"/>
  </r>
  <r>
    <x v="1"/>
    <x v="10"/>
    <x v="6"/>
    <x v="6"/>
    <x v="2"/>
    <x v="0"/>
    <x v="10"/>
    <x v="6"/>
    <x v="0"/>
    <x v="6"/>
    <x v="2"/>
    <x v="2"/>
    <x v="1"/>
    <x v="2"/>
    <x v="1"/>
    <x v="1"/>
    <x v="1"/>
    <x v="5"/>
  </r>
  <r>
    <x v="1"/>
    <x v="11"/>
    <x v="6"/>
    <x v="6"/>
    <x v="2"/>
    <x v="0"/>
    <x v="11"/>
    <x v="6"/>
    <x v="0"/>
    <x v="6"/>
    <x v="2"/>
    <x v="2"/>
    <x v="1"/>
    <x v="2"/>
    <x v="1"/>
    <x v="1"/>
    <x v="1"/>
    <x v="7"/>
  </r>
  <r>
    <x v="1"/>
    <x v="12"/>
    <x v="6"/>
    <x v="6"/>
    <x v="2"/>
    <x v="0"/>
    <x v="12"/>
    <x v="6"/>
    <x v="0"/>
    <x v="6"/>
    <x v="2"/>
    <x v="2"/>
    <x v="1"/>
    <x v="2"/>
    <x v="1"/>
    <x v="1"/>
    <x v="1"/>
    <x v="8"/>
  </r>
  <r>
    <x v="1"/>
    <x v="6"/>
    <x v="6"/>
    <x v="6"/>
    <x v="2"/>
    <x v="0"/>
    <x v="13"/>
    <x v="6"/>
    <x v="0"/>
    <x v="6"/>
    <x v="2"/>
    <x v="2"/>
    <x v="1"/>
    <x v="2"/>
    <x v="1"/>
    <x v="1"/>
    <x v="1"/>
    <x v="4"/>
  </r>
  <r>
    <x v="0"/>
    <x v="13"/>
    <x v="7"/>
    <x v="7"/>
    <x v="0"/>
    <x v="0"/>
    <x v="14"/>
    <x v="7"/>
    <x v="0"/>
    <x v="7"/>
    <x v="0"/>
    <x v="0"/>
    <x v="0"/>
    <x v="0"/>
    <x v="0"/>
    <x v="0"/>
    <x v="0"/>
    <x v="9"/>
  </r>
  <r>
    <x v="1"/>
    <x v="14"/>
    <x v="6"/>
    <x v="6"/>
    <x v="2"/>
    <x v="0"/>
    <x v="15"/>
    <x v="6"/>
    <x v="0"/>
    <x v="6"/>
    <x v="2"/>
    <x v="2"/>
    <x v="1"/>
    <x v="2"/>
    <x v="1"/>
    <x v="1"/>
    <x v="1"/>
    <x v="5"/>
  </r>
  <r>
    <x v="0"/>
    <x v="15"/>
    <x v="8"/>
    <x v="8"/>
    <x v="1"/>
    <x v="0"/>
    <x v="16"/>
    <x v="8"/>
    <x v="0"/>
    <x v="8"/>
    <x v="0"/>
    <x v="0"/>
    <x v="0"/>
    <x v="0"/>
    <x v="0"/>
    <x v="0"/>
    <x v="0"/>
    <x v="10"/>
  </r>
  <r>
    <x v="0"/>
    <x v="16"/>
    <x v="9"/>
    <x v="9"/>
    <x v="1"/>
    <x v="0"/>
    <x v="16"/>
    <x v="9"/>
    <x v="0"/>
    <x v="9"/>
    <x v="0"/>
    <x v="0"/>
    <x v="0"/>
    <x v="0"/>
    <x v="0"/>
    <x v="0"/>
    <x v="0"/>
    <x v="10"/>
  </r>
  <r>
    <x v="0"/>
    <x v="17"/>
    <x v="10"/>
    <x v="10"/>
    <x v="1"/>
    <x v="0"/>
    <x v="16"/>
    <x v="10"/>
    <x v="0"/>
    <x v="10"/>
    <x v="0"/>
    <x v="0"/>
    <x v="0"/>
    <x v="0"/>
    <x v="0"/>
    <x v="0"/>
    <x v="0"/>
    <x v="10"/>
  </r>
  <r>
    <x v="0"/>
    <x v="18"/>
    <x v="11"/>
    <x v="11"/>
    <x v="1"/>
    <x v="0"/>
    <x v="17"/>
    <x v="11"/>
    <x v="1"/>
    <x v="11"/>
    <x v="0"/>
    <x v="0"/>
    <x v="0"/>
    <x v="0"/>
    <x v="0"/>
    <x v="0"/>
    <x v="0"/>
    <x v="11"/>
  </r>
  <r>
    <x v="0"/>
    <x v="2"/>
    <x v="12"/>
    <x v="2"/>
    <x v="1"/>
    <x v="0"/>
    <x v="17"/>
    <x v="12"/>
    <x v="1"/>
    <x v="12"/>
    <x v="0"/>
    <x v="0"/>
    <x v="0"/>
    <x v="0"/>
    <x v="0"/>
    <x v="0"/>
    <x v="0"/>
    <x v="11"/>
  </r>
  <r>
    <x v="0"/>
    <x v="1"/>
    <x v="13"/>
    <x v="1"/>
    <x v="1"/>
    <x v="0"/>
    <x v="18"/>
    <x v="13"/>
    <x v="0"/>
    <x v="13"/>
    <x v="0"/>
    <x v="0"/>
    <x v="0"/>
    <x v="0"/>
    <x v="0"/>
    <x v="0"/>
    <x v="0"/>
    <x v="12"/>
  </r>
  <r>
    <x v="1"/>
    <x v="19"/>
    <x v="6"/>
    <x v="6"/>
    <x v="2"/>
    <x v="0"/>
    <x v="18"/>
    <x v="6"/>
    <x v="0"/>
    <x v="6"/>
    <x v="2"/>
    <x v="2"/>
    <x v="1"/>
    <x v="2"/>
    <x v="1"/>
    <x v="1"/>
    <x v="1"/>
    <x v="13"/>
  </r>
  <r>
    <x v="0"/>
    <x v="20"/>
    <x v="14"/>
    <x v="12"/>
    <x v="1"/>
    <x v="0"/>
    <x v="19"/>
    <x v="14"/>
    <x v="2"/>
    <x v="14"/>
    <x v="0"/>
    <x v="0"/>
    <x v="0"/>
    <x v="0"/>
    <x v="0"/>
    <x v="0"/>
    <x v="0"/>
    <x v="10"/>
  </r>
  <r>
    <x v="0"/>
    <x v="1"/>
    <x v="15"/>
    <x v="1"/>
    <x v="0"/>
    <x v="0"/>
    <x v="20"/>
    <x v="15"/>
    <x v="0"/>
    <x v="15"/>
    <x v="0"/>
    <x v="0"/>
    <x v="0"/>
    <x v="0"/>
    <x v="0"/>
    <x v="0"/>
    <x v="0"/>
    <x v="14"/>
  </r>
  <r>
    <x v="1"/>
    <x v="21"/>
    <x v="6"/>
    <x v="6"/>
    <x v="2"/>
    <x v="0"/>
    <x v="21"/>
    <x v="6"/>
    <x v="0"/>
    <x v="6"/>
    <x v="2"/>
    <x v="2"/>
    <x v="1"/>
    <x v="2"/>
    <x v="1"/>
    <x v="1"/>
    <x v="1"/>
    <x v="5"/>
  </r>
  <r>
    <x v="1"/>
    <x v="22"/>
    <x v="6"/>
    <x v="6"/>
    <x v="2"/>
    <x v="0"/>
    <x v="22"/>
    <x v="6"/>
    <x v="0"/>
    <x v="6"/>
    <x v="2"/>
    <x v="2"/>
    <x v="1"/>
    <x v="2"/>
    <x v="1"/>
    <x v="1"/>
    <x v="1"/>
    <x v="15"/>
  </r>
  <r>
    <x v="0"/>
    <x v="23"/>
    <x v="16"/>
    <x v="13"/>
    <x v="1"/>
    <x v="0"/>
    <x v="23"/>
    <x v="16"/>
    <x v="2"/>
    <x v="16"/>
    <x v="0"/>
    <x v="0"/>
    <x v="0"/>
    <x v="0"/>
    <x v="0"/>
    <x v="0"/>
    <x v="0"/>
    <x v="10"/>
  </r>
  <r>
    <x v="1"/>
    <x v="24"/>
    <x v="6"/>
    <x v="6"/>
    <x v="2"/>
    <x v="0"/>
    <x v="24"/>
    <x v="6"/>
    <x v="0"/>
    <x v="6"/>
    <x v="2"/>
    <x v="2"/>
    <x v="1"/>
    <x v="2"/>
    <x v="1"/>
    <x v="1"/>
    <x v="1"/>
    <x v="16"/>
  </r>
  <r>
    <x v="1"/>
    <x v="25"/>
    <x v="6"/>
    <x v="6"/>
    <x v="2"/>
    <x v="0"/>
    <x v="25"/>
    <x v="6"/>
    <x v="0"/>
    <x v="6"/>
    <x v="2"/>
    <x v="2"/>
    <x v="1"/>
    <x v="2"/>
    <x v="1"/>
    <x v="1"/>
    <x v="1"/>
    <x v="14"/>
  </r>
  <r>
    <x v="1"/>
    <x v="26"/>
    <x v="6"/>
    <x v="6"/>
    <x v="2"/>
    <x v="0"/>
    <x v="26"/>
    <x v="6"/>
    <x v="0"/>
    <x v="6"/>
    <x v="2"/>
    <x v="2"/>
    <x v="1"/>
    <x v="2"/>
    <x v="1"/>
    <x v="1"/>
    <x v="1"/>
    <x v="5"/>
  </r>
  <r>
    <x v="2"/>
    <x v="27"/>
    <x v="6"/>
    <x v="6"/>
    <x v="2"/>
    <x v="0"/>
    <x v="27"/>
    <x v="6"/>
    <x v="3"/>
    <x v="6"/>
    <x v="2"/>
    <x v="2"/>
    <x v="1"/>
    <x v="2"/>
    <x v="1"/>
    <x v="1"/>
    <x v="1"/>
    <x v="17"/>
  </r>
  <r>
    <x v="3"/>
    <x v="27"/>
    <x v="6"/>
    <x v="6"/>
    <x v="2"/>
    <x v="0"/>
    <x v="28"/>
    <x v="6"/>
    <x v="3"/>
    <x v="6"/>
    <x v="2"/>
    <x v="2"/>
    <x v="1"/>
    <x v="2"/>
    <x v="1"/>
    <x v="1"/>
    <x v="1"/>
    <x v="1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64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0"/>
    <x v="0"/>
    <x v="1"/>
    <x v="1"/>
    <x v="0"/>
    <x v="1"/>
    <x v="1"/>
    <x v="1"/>
    <x v="0"/>
    <x v="1"/>
    <x v="0"/>
    <x v="0"/>
    <x v="0"/>
    <x v="0"/>
  </r>
  <r>
    <x v="0"/>
    <x v="2"/>
    <x v="2"/>
    <x v="2"/>
    <x v="0"/>
    <x v="0"/>
    <x v="2"/>
    <x v="2"/>
    <x v="0"/>
    <x v="2"/>
    <x v="0"/>
    <x v="0"/>
    <x v="0"/>
    <x v="0"/>
    <x v="0"/>
    <x v="0"/>
    <x v="0"/>
    <x v="1"/>
  </r>
  <r>
    <x v="0"/>
    <x v="3"/>
    <x v="3"/>
    <x v="3"/>
    <x v="0"/>
    <x v="0"/>
    <x v="3"/>
    <x v="3"/>
    <x v="0"/>
    <x v="3"/>
    <x v="0"/>
    <x v="0"/>
    <x v="0"/>
    <x v="0"/>
    <x v="0"/>
    <x v="0"/>
    <x v="0"/>
    <x v="2"/>
  </r>
  <r>
    <x v="0"/>
    <x v="4"/>
    <x v="4"/>
    <x v="4"/>
    <x v="0"/>
    <x v="0"/>
    <x v="4"/>
    <x v="4"/>
    <x v="0"/>
    <x v="4"/>
    <x v="0"/>
    <x v="0"/>
    <x v="0"/>
    <x v="0"/>
    <x v="0"/>
    <x v="0"/>
    <x v="0"/>
    <x v="2"/>
  </r>
  <r>
    <x v="0"/>
    <x v="5"/>
    <x v="5"/>
    <x v="5"/>
    <x v="1"/>
    <x v="0"/>
    <x v="5"/>
    <x v="5"/>
    <x v="0"/>
    <x v="5"/>
    <x v="0"/>
    <x v="0"/>
    <x v="0"/>
    <x v="0"/>
    <x v="0"/>
    <x v="0"/>
    <x v="0"/>
    <x v="3"/>
  </r>
  <r>
    <x v="1"/>
    <x v="6"/>
    <x v="6"/>
    <x v="6"/>
    <x v="2"/>
    <x v="0"/>
    <x v="6"/>
    <x v="6"/>
    <x v="0"/>
    <x v="6"/>
    <x v="2"/>
    <x v="2"/>
    <x v="1"/>
    <x v="2"/>
    <x v="1"/>
    <x v="1"/>
    <x v="1"/>
    <x v="4"/>
  </r>
  <r>
    <x v="1"/>
    <x v="7"/>
    <x v="6"/>
    <x v="6"/>
    <x v="2"/>
    <x v="0"/>
    <x v="7"/>
    <x v="6"/>
    <x v="0"/>
    <x v="6"/>
    <x v="2"/>
    <x v="2"/>
    <x v="1"/>
    <x v="2"/>
    <x v="1"/>
    <x v="1"/>
    <x v="1"/>
    <x v="5"/>
  </r>
  <r>
    <x v="1"/>
    <x v="8"/>
    <x v="6"/>
    <x v="6"/>
    <x v="2"/>
    <x v="0"/>
    <x v="8"/>
    <x v="6"/>
    <x v="0"/>
    <x v="6"/>
    <x v="2"/>
    <x v="2"/>
    <x v="1"/>
    <x v="2"/>
    <x v="1"/>
    <x v="1"/>
    <x v="1"/>
    <x v="6"/>
  </r>
  <r>
    <x v="1"/>
    <x v="9"/>
    <x v="6"/>
    <x v="6"/>
    <x v="2"/>
    <x v="0"/>
    <x v="9"/>
    <x v="6"/>
    <x v="0"/>
    <x v="6"/>
    <x v="2"/>
    <x v="2"/>
    <x v="1"/>
    <x v="2"/>
    <x v="1"/>
    <x v="1"/>
    <x v="1"/>
    <x v="5"/>
  </r>
  <r>
    <x v="1"/>
    <x v="10"/>
    <x v="6"/>
    <x v="6"/>
    <x v="2"/>
    <x v="0"/>
    <x v="9"/>
    <x v="6"/>
    <x v="0"/>
    <x v="6"/>
    <x v="2"/>
    <x v="2"/>
    <x v="1"/>
    <x v="2"/>
    <x v="1"/>
    <x v="1"/>
    <x v="1"/>
    <x v="5"/>
  </r>
  <r>
    <x v="1"/>
    <x v="11"/>
    <x v="6"/>
    <x v="6"/>
    <x v="2"/>
    <x v="0"/>
    <x v="9"/>
    <x v="6"/>
    <x v="0"/>
    <x v="6"/>
    <x v="2"/>
    <x v="2"/>
    <x v="1"/>
    <x v="2"/>
    <x v="1"/>
    <x v="1"/>
    <x v="1"/>
    <x v="5"/>
  </r>
  <r>
    <x v="1"/>
    <x v="12"/>
    <x v="6"/>
    <x v="6"/>
    <x v="2"/>
    <x v="0"/>
    <x v="10"/>
    <x v="6"/>
    <x v="0"/>
    <x v="6"/>
    <x v="2"/>
    <x v="2"/>
    <x v="1"/>
    <x v="2"/>
    <x v="1"/>
    <x v="1"/>
    <x v="1"/>
    <x v="5"/>
  </r>
  <r>
    <x v="1"/>
    <x v="13"/>
    <x v="6"/>
    <x v="6"/>
    <x v="2"/>
    <x v="0"/>
    <x v="11"/>
    <x v="6"/>
    <x v="0"/>
    <x v="6"/>
    <x v="2"/>
    <x v="2"/>
    <x v="1"/>
    <x v="2"/>
    <x v="1"/>
    <x v="1"/>
    <x v="1"/>
    <x v="7"/>
  </r>
  <r>
    <x v="1"/>
    <x v="14"/>
    <x v="6"/>
    <x v="6"/>
    <x v="2"/>
    <x v="0"/>
    <x v="12"/>
    <x v="6"/>
    <x v="0"/>
    <x v="6"/>
    <x v="2"/>
    <x v="2"/>
    <x v="1"/>
    <x v="2"/>
    <x v="1"/>
    <x v="1"/>
    <x v="1"/>
    <x v="8"/>
  </r>
  <r>
    <x v="1"/>
    <x v="6"/>
    <x v="6"/>
    <x v="6"/>
    <x v="2"/>
    <x v="0"/>
    <x v="13"/>
    <x v="6"/>
    <x v="0"/>
    <x v="6"/>
    <x v="2"/>
    <x v="2"/>
    <x v="1"/>
    <x v="2"/>
    <x v="1"/>
    <x v="1"/>
    <x v="1"/>
    <x v="4"/>
  </r>
  <r>
    <x v="0"/>
    <x v="15"/>
    <x v="7"/>
    <x v="7"/>
    <x v="0"/>
    <x v="0"/>
    <x v="14"/>
    <x v="7"/>
    <x v="0"/>
    <x v="7"/>
    <x v="0"/>
    <x v="0"/>
    <x v="0"/>
    <x v="0"/>
    <x v="0"/>
    <x v="0"/>
    <x v="0"/>
    <x v="9"/>
  </r>
  <r>
    <x v="1"/>
    <x v="16"/>
    <x v="6"/>
    <x v="6"/>
    <x v="2"/>
    <x v="0"/>
    <x v="15"/>
    <x v="6"/>
    <x v="0"/>
    <x v="6"/>
    <x v="2"/>
    <x v="2"/>
    <x v="1"/>
    <x v="2"/>
    <x v="1"/>
    <x v="1"/>
    <x v="1"/>
    <x v="5"/>
  </r>
  <r>
    <x v="0"/>
    <x v="17"/>
    <x v="8"/>
    <x v="8"/>
    <x v="1"/>
    <x v="0"/>
    <x v="16"/>
    <x v="8"/>
    <x v="0"/>
    <x v="8"/>
    <x v="0"/>
    <x v="0"/>
    <x v="0"/>
    <x v="0"/>
    <x v="0"/>
    <x v="0"/>
    <x v="0"/>
    <x v="10"/>
  </r>
  <r>
    <x v="0"/>
    <x v="18"/>
    <x v="9"/>
    <x v="9"/>
    <x v="1"/>
    <x v="0"/>
    <x v="16"/>
    <x v="9"/>
    <x v="0"/>
    <x v="9"/>
    <x v="0"/>
    <x v="0"/>
    <x v="0"/>
    <x v="0"/>
    <x v="0"/>
    <x v="0"/>
    <x v="0"/>
    <x v="10"/>
  </r>
  <r>
    <x v="0"/>
    <x v="19"/>
    <x v="10"/>
    <x v="10"/>
    <x v="1"/>
    <x v="0"/>
    <x v="16"/>
    <x v="10"/>
    <x v="0"/>
    <x v="10"/>
    <x v="0"/>
    <x v="0"/>
    <x v="0"/>
    <x v="0"/>
    <x v="0"/>
    <x v="0"/>
    <x v="0"/>
    <x v="10"/>
  </r>
  <r>
    <x v="1"/>
    <x v="20"/>
    <x v="6"/>
    <x v="6"/>
    <x v="2"/>
    <x v="0"/>
    <x v="16"/>
    <x v="6"/>
    <x v="0"/>
    <x v="6"/>
    <x v="2"/>
    <x v="2"/>
    <x v="1"/>
    <x v="2"/>
    <x v="1"/>
    <x v="1"/>
    <x v="1"/>
    <x v="11"/>
  </r>
  <r>
    <x v="0"/>
    <x v="21"/>
    <x v="11"/>
    <x v="11"/>
    <x v="1"/>
    <x v="0"/>
    <x v="17"/>
    <x v="11"/>
    <x v="0"/>
    <x v="11"/>
    <x v="0"/>
    <x v="0"/>
    <x v="0"/>
    <x v="0"/>
    <x v="0"/>
    <x v="0"/>
    <x v="0"/>
    <x v="10"/>
  </r>
  <r>
    <x v="0"/>
    <x v="22"/>
    <x v="12"/>
    <x v="12"/>
    <x v="1"/>
    <x v="0"/>
    <x v="18"/>
    <x v="12"/>
    <x v="1"/>
    <x v="12"/>
    <x v="0"/>
    <x v="0"/>
    <x v="0"/>
    <x v="0"/>
    <x v="0"/>
    <x v="0"/>
    <x v="0"/>
    <x v="10"/>
  </r>
  <r>
    <x v="0"/>
    <x v="23"/>
    <x v="13"/>
    <x v="13"/>
    <x v="1"/>
    <x v="0"/>
    <x v="19"/>
    <x v="13"/>
    <x v="2"/>
    <x v="13"/>
    <x v="0"/>
    <x v="0"/>
    <x v="0"/>
    <x v="0"/>
    <x v="0"/>
    <x v="0"/>
    <x v="0"/>
    <x v="12"/>
  </r>
  <r>
    <x v="0"/>
    <x v="2"/>
    <x v="14"/>
    <x v="2"/>
    <x v="1"/>
    <x v="0"/>
    <x v="19"/>
    <x v="14"/>
    <x v="2"/>
    <x v="14"/>
    <x v="0"/>
    <x v="0"/>
    <x v="0"/>
    <x v="0"/>
    <x v="0"/>
    <x v="0"/>
    <x v="0"/>
    <x v="12"/>
  </r>
  <r>
    <x v="1"/>
    <x v="24"/>
    <x v="6"/>
    <x v="6"/>
    <x v="2"/>
    <x v="0"/>
    <x v="19"/>
    <x v="6"/>
    <x v="0"/>
    <x v="6"/>
    <x v="2"/>
    <x v="2"/>
    <x v="1"/>
    <x v="2"/>
    <x v="1"/>
    <x v="1"/>
    <x v="1"/>
    <x v="8"/>
  </r>
  <r>
    <x v="0"/>
    <x v="1"/>
    <x v="15"/>
    <x v="1"/>
    <x v="1"/>
    <x v="0"/>
    <x v="20"/>
    <x v="15"/>
    <x v="0"/>
    <x v="15"/>
    <x v="0"/>
    <x v="0"/>
    <x v="0"/>
    <x v="0"/>
    <x v="0"/>
    <x v="0"/>
    <x v="0"/>
    <x v="13"/>
  </r>
  <r>
    <x v="1"/>
    <x v="25"/>
    <x v="6"/>
    <x v="6"/>
    <x v="2"/>
    <x v="0"/>
    <x v="20"/>
    <x v="6"/>
    <x v="0"/>
    <x v="6"/>
    <x v="2"/>
    <x v="2"/>
    <x v="1"/>
    <x v="2"/>
    <x v="1"/>
    <x v="1"/>
    <x v="1"/>
    <x v="14"/>
  </r>
  <r>
    <x v="0"/>
    <x v="26"/>
    <x v="16"/>
    <x v="14"/>
    <x v="1"/>
    <x v="0"/>
    <x v="20"/>
    <x v="16"/>
    <x v="1"/>
    <x v="16"/>
    <x v="0"/>
    <x v="0"/>
    <x v="0"/>
    <x v="0"/>
    <x v="0"/>
    <x v="0"/>
    <x v="0"/>
    <x v="10"/>
  </r>
  <r>
    <x v="1"/>
    <x v="27"/>
    <x v="6"/>
    <x v="6"/>
    <x v="2"/>
    <x v="0"/>
    <x v="21"/>
    <x v="6"/>
    <x v="0"/>
    <x v="6"/>
    <x v="2"/>
    <x v="2"/>
    <x v="1"/>
    <x v="2"/>
    <x v="1"/>
    <x v="1"/>
    <x v="1"/>
    <x v="7"/>
  </r>
  <r>
    <x v="0"/>
    <x v="28"/>
    <x v="17"/>
    <x v="15"/>
    <x v="1"/>
    <x v="0"/>
    <x v="22"/>
    <x v="17"/>
    <x v="1"/>
    <x v="17"/>
    <x v="0"/>
    <x v="0"/>
    <x v="0"/>
    <x v="0"/>
    <x v="0"/>
    <x v="0"/>
    <x v="0"/>
    <x v="10"/>
  </r>
  <r>
    <x v="0"/>
    <x v="1"/>
    <x v="18"/>
    <x v="1"/>
    <x v="0"/>
    <x v="0"/>
    <x v="23"/>
    <x v="18"/>
    <x v="0"/>
    <x v="18"/>
    <x v="0"/>
    <x v="0"/>
    <x v="0"/>
    <x v="0"/>
    <x v="0"/>
    <x v="0"/>
    <x v="0"/>
    <x v="15"/>
  </r>
  <r>
    <x v="0"/>
    <x v="29"/>
    <x v="19"/>
    <x v="16"/>
    <x v="1"/>
    <x v="0"/>
    <x v="23"/>
    <x v="19"/>
    <x v="1"/>
    <x v="19"/>
    <x v="0"/>
    <x v="0"/>
    <x v="0"/>
    <x v="0"/>
    <x v="0"/>
    <x v="0"/>
    <x v="0"/>
    <x v="10"/>
  </r>
  <r>
    <x v="0"/>
    <x v="30"/>
    <x v="20"/>
    <x v="17"/>
    <x v="1"/>
    <x v="0"/>
    <x v="23"/>
    <x v="20"/>
    <x v="2"/>
    <x v="20"/>
    <x v="0"/>
    <x v="0"/>
    <x v="0"/>
    <x v="0"/>
    <x v="0"/>
    <x v="0"/>
    <x v="0"/>
    <x v="12"/>
  </r>
  <r>
    <x v="1"/>
    <x v="7"/>
    <x v="6"/>
    <x v="6"/>
    <x v="2"/>
    <x v="0"/>
    <x v="24"/>
    <x v="6"/>
    <x v="0"/>
    <x v="6"/>
    <x v="2"/>
    <x v="2"/>
    <x v="1"/>
    <x v="2"/>
    <x v="1"/>
    <x v="1"/>
    <x v="1"/>
    <x v="5"/>
  </r>
  <r>
    <x v="1"/>
    <x v="31"/>
    <x v="6"/>
    <x v="6"/>
    <x v="2"/>
    <x v="0"/>
    <x v="25"/>
    <x v="6"/>
    <x v="0"/>
    <x v="6"/>
    <x v="2"/>
    <x v="2"/>
    <x v="1"/>
    <x v="2"/>
    <x v="1"/>
    <x v="1"/>
    <x v="1"/>
    <x v="16"/>
  </r>
  <r>
    <x v="0"/>
    <x v="32"/>
    <x v="21"/>
    <x v="18"/>
    <x v="1"/>
    <x v="0"/>
    <x v="26"/>
    <x v="21"/>
    <x v="1"/>
    <x v="21"/>
    <x v="0"/>
    <x v="0"/>
    <x v="0"/>
    <x v="0"/>
    <x v="0"/>
    <x v="0"/>
    <x v="0"/>
    <x v="10"/>
  </r>
  <r>
    <x v="1"/>
    <x v="33"/>
    <x v="6"/>
    <x v="6"/>
    <x v="2"/>
    <x v="0"/>
    <x v="27"/>
    <x v="6"/>
    <x v="0"/>
    <x v="6"/>
    <x v="2"/>
    <x v="2"/>
    <x v="1"/>
    <x v="2"/>
    <x v="1"/>
    <x v="1"/>
    <x v="1"/>
    <x v="17"/>
  </r>
  <r>
    <x v="1"/>
    <x v="34"/>
    <x v="6"/>
    <x v="6"/>
    <x v="2"/>
    <x v="0"/>
    <x v="28"/>
    <x v="6"/>
    <x v="0"/>
    <x v="6"/>
    <x v="2"/>
    <x v="2"/>
    <x v="1"/>
    <x v="2"/>
    <x v="1"/>
    <x v="1"/>
    <x v="1"/>
    <x v="15"/>
  </r>
  <r>
    <x v="1"/>
    <x v="12"/>
    <x v="6"/>
    <x v="6"/>
    <x v="2"/>
    <x v="0"/>
    <x v="29"/>
    <x v="6"/>
    <x v="0"/>
    <x v="6"/>
    <x v="2"/>
    <x v="2"/>
    <x v="1"/>
    <x v="2"/>
    <x v="1"/>
    <x v="1"/>
    <x v="1"/>
    <x v="5"/>
  </r>
  <r>
    <x v="1"/>
    <x v="35"/>
    <x v="6"/>
    <x v="6"/>
    <x v="2"/>
    <x v="0"/>
    <x v="30"/>
    <x v="6"/>
    <x v="0"/>
    <x v="6"/>
    <x v="2"/>
    <x v="2"/>
    <x v="1"/>
    <x v="2"/>
    <x v="1"/>
    <x v="1"/>
    <x v="1"/>
    <x v="0"/>
  </r>
  <r>
    <x v="1"/>
    <x v="35"/>
    <x v="6"/>
    <x v="6"/>
    <x v="2"/>
    <x v="0"/>
    <x v="20"/>
    <x v="6"/>
    <x v="0"/>
    <x v="6"/>
    <x v="2"/>
    <x v="2"/>
    <x v="1"/>
    <x v="2"/>
    <x v="1"/>
    <x v="1"/>
    <x v="1"/>
    <x v="18"/>
  </r>
  <r>
    <x v="0"/>
    <x v="36"/>
    <x v="22"/>
    <x v="19"/>
    <x v="1"/>
    <x v="0"/>
    <x v="31"/>
    <x v="22"/>
    <x v="2"/>
    <x v="22"/>
    <x v="0"/>
    <x v="0"/>
    <x v="0"/>
    <x v="0"/>
    <x v="0"/>
    <x v="0"/>
    <x v="0"/>
    <x v="12"/>
  </r>
  <r>
    <x v="0"/>
    <x v="37"/>
    <x v="23"/>
    <x v="20"/>
    <x v="0"/>
    <x v="0"/>
    <x v="32"/>
    <x v="23"/>
    <x v="3"/>
    <x v="23"/>
    <x v="0"/>
    <x v="0"/>
    <x v="0"/>
    <x v="0"/>
    <x v="0"/>
    <x v="0"/>
    <x v="0"/>
    <x v="19"/>
  </r>
  <r>
    <x v="0"/>
    <x v="38"/>
    <x v="24"/>
    <x v="21"/>
    <x v="0"/>
    <x v="0"/>
    <x v="33"/>
    <x v="24"/>
    <x v="0"/>
    <x v="24"/>
    <x v="0"/>
    <x v="0"/>
    <x v="0"/>
    <x v="0"/>
    <x v="0"/>
    <x v="0"/>
    <x v="0"/>
    <x v="0"/>
  </r>
  <r>
    <x v="0"/>
    <x v="39"/>
    <x v="25"/>
    <x v="22"/>
    <x v="1"/>
    <x v="0"/>
    <x v="16"/>
    <x v="25"/>
    <x v="0"/>
    <x v="25"/>
    <x v="0"/>
    <x v="0"/>
    <x v="0"/>
    <x v="0"/>
    <x v="0"/>
    <x v="0"/>
    <x v="0"/>
    <x v="7"/>
  </r>
  <r>
    <x v="1"/>
    <x v="40"/>
    <x v="6"/>
    <x v="6"/>
    <x v="2"/>
    <x v="0"/>
    <x v="9"/>
    <x v="6"/>
    <x v="0"/>
    <x v="6"/>
    <x v="2"/>
    <x v="2"/>
    <x v="1"/>
    <x v="2"/>
    <x v="1"/>
    <x v="1"/>
    <x v="1"/>
    <x v="5"/>
  </r>
  <r>
    <x v="0"/>
    <x v="41"/>
    <x v="26"/>
    <x v="23"/>
    <x v="1"/>
    <x v="0"/>
    <x v="34"/>
    <x v="26"/>
    <x v="1"/>
    <x v="26"/>
    <x v="0"/>
    <x v="0"/>
    <x v="0"/>
    <x v="0"/>
    <x v="0"/>
    <x v="0"/>
    <x v="0"/>
    <x v="10"/>
  </r>
  <r>
    <x v="0"/>
    <x v="42"/>
    <x v="27"/>
    <x v="24"/>
    <x v="0"/>
    <x v="0"/>
    <x v="17"/>
    <x v="27"/>
    <x v="4"/>
    <x v="27"/>
    <x v="3"/>
    <x v="1"/>
    <x v="0"/>
    <x v="3"/>
    <x v="0"/>
    <x v="0"/>
    <x v="0"/>
    <x v="20"/>
  </r>
  <r>
    <x v="1"/>
    <x v="43"/>
    <x v="6"/>
    <x v="6"/>
    <x v="2"/>
    <x v="0"/>
    <x v="35"/>
    <x v="6"/>
    <x v="0"/>
    <x v="6"/>
    <x v="2"/>
    <x v="2"/>
    <x v="1"/>
    <x v="2"/>
    <x v="1"/>
    <x v="1"/>
    <x v="1"/>
    <x v="0"/>
  </r>
  <r>
    <x v="0"/>
    <x v="44"/>
    <x v="28"/>
    <x v="25"/>
    <x v="1"/>
    <x v="0"/>
    <x v="36"/>
    <x v="28"/>
    <x v="0"/>
    <x v="28"/>
    <x v="0"/>
    <x v="0"/>
    <x v="0"/>
    <x v="0"/>
    <x v="0"/>
    <x v="0"/>
    <x v="0"/>
    <x v="7"/>
  </r>
  <r>
    <x v="1"/>
    <x v="45"/>
    <x v="6"/>
    <x v="6"/>
    <x v="2"/>
    <x v="0"/>
    <x v="16"/>
    <x v="6"/>
    <x v="0"/>
    <x v="6"/>
    <x v="2"/>
    <x v="2"/>
    <x v="1"/>
    <x v="2"/>
    <x v="1"/>
    <x v="1"/>
    <x v="1"/>
    <x v="11"/>
  </r>
  <r>
    <x v="0"/>
    <x v="46"/>
    <x v="29"/>
    <x v="26"/>
    <x v="0"/>
    <x v="0"/>
    <x v="17"/>
    <x v="29"/>
    <x v="5"/>
    <x v="29"/>
    <x v="4"/>
    <x v="1"/>
    <x v="0"/>
    <x v="4"/>
    <x v="0"/>
    <x v="0"/>
    <x v="0"/>
    <x v="20"/>
  </r>
  <r>
    <x v="1"/>
    <x v="47"/>
    <x v="6"/>
    <x v="6"/>
    <x v="2"/>
    <x v="0"/>
    <x v="16"/>
    <x v="6"/>
    <x v="6"/>
    <x v="6"/>
    <x v="2"/>
    <x v="2"/>
    <x v="1"/>
    <x v="2"/>
    <x v="1"/>
    <x v="1"/>
    <x v="1"/>
    <x v="11"/>
  </r>
  <r>
    <x v="1"/>
    <x v="48"/>
    <x v="6"/>
    <x v="6"/>
    <x v="2"/>
    <x v="0"/>
    <x v="37"/>
    <x v="6"/>
    <x v="6"/>
    <x v="6"/>
    <x v="2"/>
    <x v="2"/>
    <x v="1"/>
    <x v="2"/>
    <x v="1"/>
    <x v="1"/>
    <x v="1"/>
    <x v="0"/>
  </r>
  <r>
    <x v="1"/>
    <x v="49"/>
    <x v="6"/>
    <x v="6"/>
    <x v="2"/>
    <x v="0"/>
    <x v="9"/>
    <x v="6"/>
    <x v="0"/>
    <x v="6"/>
    <x v="2"/>
    <x v="2"/>
    <x v="1"/>
    <x v="2"/>
    <x v="1"/>
    <x v="1"/>
    <x v="1"/>
    <x v="5"/>
  </r>
  <r>
    <x v="1"/>
    <x v="50"/>
    <x v="6"/>
    <x v="6"/>
    <x v="2"/>
    <x v="0"/>
    <x v="38"/>
    <x v="6"/>
    <x v="0"/>
    <x v="6"/>
    <x v="2"/>
    <x v="2"/>
    <x v="1"/>
    <x v="2"/>
    <x v="1"/>
    <x v="1"/>
    <x v="1"/>
    <x v="5"/>
  </r>
  <r>
    <x v="0"/>
    <x v="51"/>
    <x v="30"/>
    <x v="27"/>
    <x v="0"/>
    <x v="0"/>
    <x v="20"/>
    <x v="30"/>
    <x v="7"/>
    <x v="30"/>
    <x v="5"/>
    <x v="1"/>
    <x v="0"/>
    <x v="5"/>
    <x v="0"/>
    <x v="0"/>
    <x v="0"/>
    <x v="20"/>
  </r>
  <r>
    <x v="0"/>
    <x v="52"/>
    <x v="31"/>
    <x v="28"/>
    <x v="0"/>
    <x v="0"/>
    <x v="39"/>
    <x v="31"/>
    <x v="0"/>
    <x v="31"/>
    <x v="0"/>
    <x v="0"/>
    <x v="0"/>
    <x v="0"/>
    <x v="0"/>
    <x v="0"/>
    <x v="0"/>
    <x v="0"/>
  </r>
  <r>
    <x v="0"/>
    <x v="53"/>
    <x v="32"/>
    <x v="29"/>
    <x v="1"/>
    <x v="0"/>
    <x v="40"/>
    <x v="32"/>
    <x v="0"/>
    <x v="32"/>
    <x v="0"/>
    <x v="0"/>
    <x v="0"/>
    <x v="0"/>
    <x v="0"/>
    <x v="0"/>
    <x v="0"/>
    <x v="21"/>
  </r>
  <r>
    <x v="2"/>
    <x v="54"/>
    <x v="6"/>
    <x v="6"/>
    <x v="2"/>
    <x v="0"/>
    <x v="41"/>
    <x v="6"/>
    <x v="6"/>
    <x v="6"/>
    <x v="2"/>
    <x v="2"/>
    <x v="1"/>
    <x v="2"/>
    <x v="1"/>
    <x v="1"/>
    <x v="1"/>
    <x v="22"/>
  </r>
  <r>
    <x v="3"/>
    <x v="54"/>
    <x v="6"/>
    <x v="6"/>
    <x v="2"/>
    <x v="0"/>
    <x v="42"/>
    <x v="6"/>
    <x v="6"/>
    <x v="6"/>
    <x v="2"/>
    <x v="2"/>
    <x v="1"/>
    <x v="2"/>
    <x v="1"/>
    <x v="1"/>
    <x v="1"/>
    <x v="22"/>
  </r>
  <r>
    <x v="2"/>
    <x v="54"/>
    <x v="6"/>
    <x v="6"/>
    <x v="2"/>
    <x v="0"/>
    <x v="41"/>
    <x v="6"/>
    <x v="6"/>
    <x v="6"/>
    <x v="2"/>
    <x v="2"/>
    <x v="1"/>
    <x v="2"/>
    <x v="1"/>
    <x v="1"/>
    <x v="1"/>
    <x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4" cacheId="2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N4:AO27" firstHeaderRow="1" firstDataRow="1" firstDataCol="1"/>
  <pivotFields count="18">
    <pivotField compact="0" showAll="0">
      <items count="5">
        <item x="1"/>
        <item x="0"/>
        <item x="3"/>
        <item x="2"/>
        <item t="default"/>
      </items>
    </pivotField>
    <pivotField compact="0" showAll="0">
      <items count="56">
        <item x="28"/>
        <item x="32"/>
        <item x="5"/>
        <item x="17"/>
        <item x="18"/>
        <item x="19"/>
        <item x="1"/>
        <item x="15"/>
        <item x="3"/>
        <item x="4"/>
        <item x="2"/>
        <item x="0"/>
        <item x="21"/>
        <item x="29"/>
        <item x="30"/>
        <item x="22"/>
        <item x="26"/>
        <item x="36"/>
        <item x="37"/>
        <item x="38"/>
        <item x="39"/>
        <item x="41"/>
        <item x="42"/>
        <item x="44"/>
        <item x="46"/>
        <item x="52"/>
        <item x="53"/>
        <item x="25"/>
        <item x="6"/>
        <item x="34"/>
        <item x="33"/>
        <item x="14"/>
        <item x="8"/>
        <item x="16"/>
        <item x="31"/>
        <item x="12"/>
        <item x="7"/>
        <item x="23"/>
        <item x="9"/>
        <item x="13"/>
        <item x="20"/>
        <item x="10"/>
        <item x="24"/>
        <item x="11"/>
        <item x="27"/>
        <item x="35"/>
        <item x="40"/>
        <item x="43"/>
        <item x="45"/>
        <item x="47"/>
        <item x="48"/>
        <item x="49"/>
        <item x="51"/>
        <item x="50"/>
        <item x="54"/>
        <item t="default"/>
      </items>
    </pivotField>
    <pivotField compact="0" showAll="0">
      <items count="34">
        <item x="26"/>
        <item x="4"/>
        <item x="22"/>
        <item x="24"/>
        <item x="3"/>
        <item x="28"/>
        <item x="13"/>
        <item x="16"/>
        <item x="14"/>
        <item x="1"/>
        <item x="25"/>
        <item x="9"/>
        <item x="32"/>
        <item x="19"/>
        <item x="21"/>
        <item x="20"/>
        <item x="8"/>
        <item x="18"/>
        <item x="11"/>
        <item x="30"/>
        <item x="17"/>
        <item x="27"/>
        <item x="5"/>
        <item x="23"/>
        <item x="15"/>
        <item x="0"/>
        <item x="7"/>
        <item x="31"/>
        <item x="29"/>
        <item x="2"/>
        <item x="12"/>
        <item x="10"/>
        <item x="6"/>
        <item t="default"/>
      </items>
    </pivotField>
    <pivotField compact="0" showAll="0">
      <items count="31">
        <item x="15"/>
        <item x="18"/>
        <item x="5"/>
        <item x="8"/>
        <item x="9"/>
        <item x="10"/>
        <item x="1"/>
        <item x="13"/>
        <item x="7"/>
        <item x="3"/>
        <item x="4"/>
        <item x="2"/>
        <item x="0"/>
        <item x="11"/>
        <item x="16"/>
        <item x="17"/>
        <item x="12"/>
        <item x="14"/>
        <item x="19"/>
        <item x="20"/>
        <item x="21"/>
        <item x="22"/>
        <item x="23"/>
        <item x="24"/>
        <item x="25"/>
        <item x="26"/>
        <item x="27"/>
        <item x="28"/>
        <item x="29"/>
        <item x="6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44"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36"/>
        <item x="17"/>
        <item x="16"/>
        <item x="15"/>
        <item x="40"/>
        <item x="14"/>
        <item x="13"/>
        <item x="38"/>
        <item x="12"/>
        <item x="11"/>
        <item x="34"/>
        <item x="10"/>
        <item x="9"/>
        <item x="8"/>
        <item x="7"/>
        <item x="31"/>
        <item x="6"/>
        <item x="5"/>
        <item x="4"/>
        <item x="35"/>
        <item x="3"/>
        <item x="2"/>
        <item x="1"/>
        <item x="33"/>
        <item x="30"/>
        <item x="39"/>
        <item x="32"/>
        <item x="37"/>
        <item x="0"/>
        <item x="42"/>
        <item x="41"/>
        <item t="default"/>
      </items>
    </pivotField>
    <pivotField compact="0" showAll="0">
      <items count="34">
        <item x="30"/>
        <item x="29"/>
        <item x="31"/>
        <item x="32"/>
        <item x="28"/>
        <item x="27"/>
        <item x="25"/>
        <item x="26"/>
        <item x="21"/>
        <item x="22"/>
        <item x="23"/>
        <item x="24"/>
        <item x="5"/>
        <item x="17"/>
        <item x="16"/>
        <item x="12"/>
        <item x="20"/>
        <item x="19"/>
        <item x="7"/>
        <item x="3"/>
        <item x="4"/>
        <item x="14"/>
        <item x="2"/>
        <item x="13"/>
        <item x="15"/>
        <item x="1"/>
        <item x="18"/>
        <item x="11"/>
        <item x="0"/>
        <item x="8"/>
        <item x="10"/>
        <item x="9"/>
        <item x="6"/>
        <item t="default"/>
      </items>
    </pivotField>
    <pivotField compact="0" showAll="0">
      <items count="9">
        <item x="4"/>
        <item x="5"/>
        <item x="7"/>
        <item x="1"/>
        <item x="2"/>
        <item x="0"/>
        <item x="3"/>
        <item x="6"/>
        <item t="default"/>
      </items>
    </pivotField>
    <pivotField compact="0" showAll="0">
      <items count="34">
        <item x="17"/>
        <item x="21"/>
        <item x="5"/>
        <item x="8"/>
        <item x="9"/>
        <item x="10"/>
        <item x="1"/>
        <item x="18"/>
        <item x="15"/>
        <item x="13"/>
        <item x="7"/>
        <item x="3"/>
        <item x="4"/>
        <item x="14"/>
        <item x="2"/>
        <item x="0"/>
        <item x="11"/>
        <item x="19"/>
        <item x="20"/>
        <item x="12"/>
        <item x="16"/>
        <item x="22"/>
        <item x="23"/>
        <item x="24"/>
        <item x="25"/>
        <item x="26"/>
        <item x="27"/>
        <item x="28"/>
        <item x="29"/>
        <item x="30"/>
        <item x="31"/>
        <item x="32"/>
        <item x="6"/>
        <item t="default"/>
      </items>
    </pivotField>
    <pivotField compact="0" showAll="0">
      <items count="7">
        <item x="0"/>
        <item x="3"/>
        <item x="4"/>
        <item x="5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3"/>
        <item x="4"/>
        <item x="5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axis="axisRow" compact="0" sortType="descending" multipleItemSelectionAllowed="1" showAll="0">
      <items count="24">
        <item x="7"/>
        <item x="13"/>
        <item x="12"/>
        <item x="20"/>
        <item x="5"/>
        <item x="16"/>
        <item x="8"/>
        <item x="19"/>
        <item x="21"/>
        <item x="3"/>
        <item x="1"/>
        <item x="2"/>
        <item x="15"/>
        <item x="9"/>
        <item x="17"/>
        <item x="4"/>
        <item x="10"/>
        <item x="0"/>
        <item x="6"/>
        <item x="14"/>
        <item x="18"/>
        <item x="11"/>
        <item h="1" x="2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7"/>
  </rowFields>
  <rowItems count="23">
    <i>
      <x v="17"/>
    </i>
    <i>
      <x v="7"/>
    </i>
    <i>
      <x v="11"/>
    </i>
    <i>
      <x v="10"/>
    </i>
    <i>
      <x v="4"/>
    </i>
    <i>
      <x v="15"/>
    </i>
    <i>
      <x v="9"/>
    </i>
    <i>
      <x v="16"/>
    </i>
    <i>
      <x v="2"/>
    </i>
    <i>
      <x/>
    </i>
    <i>
      <x v="21"/>
    </i>
    <i>
      <x v="6"/>
    </i>
    <i>
      <x v="3"/>
    </i>
    <i>
      <x v="18"/>
    </i>
    <i>
      <x v="13"/>
    </i>
    <i>
      <x v="8"/>
    </i>
    <i>
      <x v="20"/>
    </i>
    <i>
      <x v="19"/>
    </i>
    <i>
      <x v="1"/>
    </i>
    <i>
      <x v="12"/>
    </i>
    <i>
      <x v="5"/>
    </i>
    <i>
      <x v="14"/>
    </i>
    <i t="grand">
      <x/>
    </i>
  </rowItems>
  <colItems count="1">
    <i/>
  </colItems>
  <dataFields count="1">
    <dataField name="求和项:收款金额" fld="6" baseField="0" baseItem="0"/>
  </dataFields>
  <formats count="5">
    <format dxfId="0">
      <pivotArea type="all" dataOnly="0" outline="0" fieldPosition="0"/>
    </format>
    <format dxfId="1">
      <pivotArea type="all" dataOnly="0" outline="0" fieldPosition="0"/>
    </format>
    <format dxfId="2">
      <pivotArea collapsedLevelsAreSubtotals="1" fieldPosition="0"/>
    </format>
    <format dxfId="3">
      <pivotArea collapsedLevelsAreSubtotals="1" fieldPosition="0"/>
    </format>
    <format dxfId="4">
      <pivotArea collapsedLevelsAreSubtotals="1" fieldPosition="0"/>
    </format>
  </formats>
  <pivotTableStyleInfo name="PivotStylePreset5_Accent5" showRowHeaders="1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N2:AO14" firstHeaderRow="1" firstDataRow="1" firstDataCol="1"/>
  <pivotFields count="18">
    <pivotField compact="0" showAll="0">
      <items count="5">
        <item x="0"/>
        <item x="1"/>
        <item x="2"/>
        <item x="3"/>
        <item t="default"/>
      </items>
    </pivotField>
    <pivotField compact="0" showAll="0">
      <items count="31">
        <item x="3"/>
        <item x="8"/>
        <item x="9"/>
        <item x="4"/>
        <item x="6"/>
        <item x="11"/>
        <item x="12"/>
        <item x="13"/>
        <item x="14"/>
        <item x="16"/>
        <item x="17"/>
        <item x="19"/>
        <item x="21"/>
        <item x="27"/>
        <item x="28"/>
        <item x="2"/>
        <item x="0"/>
        <item x="5"/>
        <item x="1"/>
        <item x="7"/>
        <item x="10"/>
        <item x="15"/>
        <item x="18"/>
        <item x="20"/>
        <item x="22"/>
        <item x="23"/>
        <item x="24"/>
        <item x="26"/>
        <item x="25"/>
        <item x="29"/>
        <item t="default"/>
      </items>
    </pivotField>
    <pivotField compact="0" showAll="0">
      <items count="18">
        <item x="10"/>
        <item x="6"/>
        <item x="8"/>
        <item x="12"/>
        <item x="3"/>
        <item x="9"/>
        <item x="16"/>
        <item x="4"/>
        <item x="5"/>
        <item x="1"/>
        <item x="14"/>
        <item x="11"/>
        <item x="7"/>
        <item x="15"/>
        <item x="13"/>
        <item x="2"/>
        <item x="0"/>
        <item t="default"/>
      </items>
    </pivotField>
    <pivotField compact="0" showAll="0">
      <items count="18">
        <item x="1"/>
        <item x="4"/>
        <item x="5"/>
        <item x="2"/>
        <item x="3"/>
        <item x="6"/>
        <item x="7"/>
        <item x="8"/>
        <item x="9"/>
        <item x="10"/>
        <item x="11"/>
        <item x="12"/>
        <item x="13"/>
        <item x="14"/>
        <item x="15"/>
        <item x="16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22">
        <item x="7"/>
        <item x="6"/>
        <item x="5"/>
        <item x="4"/>
        <item x="3"/>
        <item x="14"/>
        <item x="2"/>
        <item x="1"/>
        <item x="18"/>
        <item x="16"/>
        <item x="12"/>
        <item x="0"/>
        <item x="9"/>
        <item x="13"/>
        <item x="11"/>
        <item x="8"/>
        <item x="17"/>
        <item x="10"/>
        <item x="15"/>
        <item x="19"/>
        <item x="20"/>
        <item t="default"/>
      </items>
    </pivotField>
    <pivotField compact="0" showAll="0">
      <items count="18">
        <item x="14"/>
        <item x="13"/>
        <item x="15"/>
        <item x="16"/>
        <item x="12"/>
        <item x="11"/>
        <item x="9"/>
        <item x="10"/>
        <item x="6"/>
        <item x="7"/>
        <item x="8"/>
        <item x="3"/>
        <item x="2"/>
        <item x="5"/>
        <item x="4"/>
        <item x="1"/>
        <item x="0"/>
        <item t="default"/>
      </items>
    </pivotField>
    <pivotField compact="0" showAll="0">
      <items count="9">
        <item x="4"/>
        <item x="5"/>
        <item x="7"/>
        <item x="1"/>
        <item x="2"/>
        <item x="0"/>
        <item x="3"/>
        <item x="6"/>
        <item t="default"/>
      </items>
    </pivotField>
    <pivotField compact="0" showAll="0">
      <items count="18">
        <item x="1"/>
        <item x="4"/>
        <item x="5"/>
        <item x="2"/>
        <item x="3"/>
        <item x="6"/>
        <item x="7"/>
        <item x="8"/>
        <item x="9"/>
        <item x="10"/>
        <item x="11"/>
        <item x="12"/>
        <item x="13"/>
        <item x="14"/>
        <item x="15"/>
        <item x="16"/>
        <item x="0"/>
        <item t="default"/>
      </items>
    </pivotField>
    <pivotField compact="0" showAll="0">
      <items count="6">
        <item x="1"/>
        <item x="2"/>
        <item x="3"/>
        <item x="4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1"/>
        <item x="2"/>
        <item x="3"/>
        <item x="4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axis="axisRow" compact="0" sortType="descending" multipleItemSelectionAllowed="1" showAll="0">
      <items count="13">
        <item x="4"/>
        <item x="5"/>
        <item x="9"/>
        <item x="0"/>
        <item x="3"/>
        <item x="8"/>
        <item x="10"/>
        <item x="2"/>
        <item x="6"/>
        <item x="7"/>
        <item x="1"/>
        <item h="1" x="1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7"/>
  </rowFields>
  <rowItems count="12">
    <i>
      <x v="8"/>
    </i>
    <i>
      <x v="5"/>
    </i>
    <i>
      <x v="3"/>
    </i>
    <i>
      <x v="7"/>
    </i>
    <i>
      <x v="10"/>
    </i>
    <i>
      <x v="1"/>
    </i>
    <i>
      <x/>
    </i>
    <i>
      <x v="2"/>
    </i>
    <i>
      <x v="6"/>
    </i>
    <i>
      <x v="4"/>
    </i>
    <i>
      <x v="9"/>
    </i>
    <i t="grand">
      <x/>
    </i>
  </rowItems>
  <colItems count="1">
    <i/>
  </colItems>
  <dataFields count="1">
    <dataField name="求和项:收款金额" fld="6" baseField="0" baseItem="0"/>
  </dataFields>
  <formats count="6">
    <format dxfId="5">
      <pivotArea collapsedLevelsAreSubtotals="1" fieldPosition="0"/>
    </format>
    <format dxfId="6">
      <pivotArea type="all" dataOnly="0" outline="0" fieldPosition="0"/>
    </format>
    <format dxfId="7">
      <pivotArea type="all" dataOnly="0" outline="0" fieldPosition="0"/>
    </format>
    <format dxfId="8">
      <pivotArea collapsedLevelsAreSubtotals="1" fieldPosition="0"/>
    </format>
    <format dxfId="9">
      <pivotArea collapsedLevelsAreSubtotals="1" fieldPosition="0"/>
    </format>
    <format dxfId="10">
      <pivotArea collapsedLevelsAreSubtotals="1" fieldPosition="0"/>
    </format>
  </formats>
  <pivotTableStyleInfo name="PivotStylePreset5_Accent5" showRowHeaders="1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3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N3:AO21" firstHeaderRow="1" firstDataRow="1" firstDataCol="1"/>
  <pivotFields count="18">
    <pivotField compact="0" showAll="0">
      <items count="5">
        <item x="1"/>
        <item x="0"/>
        <item x="2"/>
        <item x="3"/>
        <item t="default"/>
      </items>
    </pivotField>
    <pivotField compact="0" showAll="0">
      <items count="29">
        <item x="6"/>
        <item x="12"/>
        <item x="8"/>
        <item x="14"/>
        <item x="10"/>
        <item x="7"/>
        <item x="9"/>
        <item x="11"/>
        <item x="20"/>
        <item x="23"/>
        <item x="5"/>
        <item x="15"/>
        <item x="16"/>
        <item x="17"/>
        <item x="1"/>
        <item x="13"/>
        <item x="3"/>
        <item x="4"/>
        <item x="2"/>
        <item x="0"/>
        <item x="19"/>
        <item x="25"/>
        <item x="24"/>
        <item x="22"/>
        <item x="26"/>
        <item x="21"/>
        <item x="18"/>
        <item x="27"/>
        <item t="default"/>
      </items>
    </pivotField>
    <pivotField compact="0" showAll="0">
      <items count="18">
        <item x="4"/>
        <item x="3"/>
        <item x="11"/>
        <item x="12"/>
        <item x="1"/>
        <item x="9"/>
        <item x="16"/>
        <item x="8"/>
        <item x="15"/>
        <item x="14"/>
        <item x="5"/>
        <item x="13"/>
        <item x="0"/>
        <item x="7"/>
        <item x="2"/>
        <item x="10"/>
        <item x="6"/>
        <item t="default"/>
      </items>
    </pivotField>
    <pivotField compact="0" showAll="0">
      <items count="15">
        <item x="12"/>
        <item x="13"/>
        <item x="5"/>
        <item x="8"/>
        <item x="9"/>
        <item x="10"/>
        <item x="1"/>
        <item x="11"/>
        <item x="7"/>
        <item x="3"/>
        <item x="4"/>
        <item x="2"/>
        <item x="0"/>
        <item x="6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30"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27"/>
        <item x="28"/>
        <item t="default"/>
      </items>
    </pivotField>
    <pivotField compact="0" showAll="0">
      <items count="18">
        <item x="16"/>
        <item x="5"/>
        <item x="14"/>
        <item x="7"/>
        <item x="3"/>
        <item x="4"/>
        <item x="12"/>
        <item x="2"/>
        <item x="11"/>
        <item x="13"/>
        <item x="1"/>
        <item x="15"/>
        <item x="0"/>
        <item x="8"/>
        <item x="10"/>
        <item x="9"/>
        <item x="6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18">
        <item x="14"/>
        <item x="16"/>
        <item x="5"/>
        <item x="8"/>
        <item x="9"/>
        <item x="10"/>
        <item x="1"/>
        <item x="15"/>
        <item x="13"/>
        <item x="11"/>
        <item x="7"/>
        <item x="3"/>
        <item x="4"/>
        <item x="12"/>
        <item x="2"/>
        <item x="0"/>
        <item x="6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axis="axisRow" compact="0" sortType="descending" multipleItemSelectionAllowed="1" showAll="0">
      <items count="19">
        <item x="7"/>
        <item x="12"/>
        <item x="11"/>
        <item x="5"/>
        <item x="15"/>
        <item x="8"/>
        <item x="3"/>
        <item x="1"/>
        <item x="2"/>
        <item x="14"/>
        <item x="9"/>
        <item x="16"/>
        <item x="4"/>
        <item x="10"/>
        <item x="0"/>
        <item x="6"/>
        <item x="13"/>
        <item h="1" x="1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7"/>
  </rowFields>
  <rowItems count="18">
    <i>
      <x v="14"/>
    </i>
    <i>
      <x v="8"/>
    </i>
    <i>
      <x v="7"/>
    </i>
    <i>
      <x v="12"/>
    </i>
    <i>
      <x v="6"/>
    </i>
    <i>
      <x v="3"/>
    </i>
    <i>
      <x v="13"/>
    </i>
    <i>
      <x v="15"/>
    </i>
    <i>
      <x/>
    </i>
    <i>
      <x v="5"/>
    </i>
    <i>
      <x v="2"/>
    </i>
    <i>
      <x v="10"/>
    </i>
    <i>
      <x v="16"/>
    </i>
    <i>
      <x v="1"/>
    </i>
    <i>
      <x v="9"/>
    </i>
    <i>
      <x v="4"/>
    </i>
    <i>
      <x v="11"/>
    </i>
    <i t="grand">
      <x/>
    </i>
  </rowItems>
  <colItems count="1">
    <i/>
  </colItems>
  <dataFields count="1">
    <dataField name="求和项:收款金额" fld="6" baseField="0" baseItem="0"/>
  </dataFields>
  <formats count="6">
    <format dxfId="11">
      <pivotArea type="all" dataOnly="0" outline="0" fieldPosition="0"/>
    </format>
    <format dxfId="12">
      <pivotArea collapsedLevelsAreSubtotals="1" fieldPosition="0"/>
    </format>
    <format dxfId="13">
      <pivotArea type="all" dataOnly="0" outline="0" fieldPosition="0"/>
    </format>
    <format dxfId="14">
      <pivotArea collapsedLevelsAreSubtotals="1" fieldPosition="0"/>
    </format>
    <format dxfId="15">
      <pivotArea collapsedLevelsAreSubtotals="1" fieldPosition="0"/>
    </format>
    <format dxfId="16">
      <pivotArea collapsedLevelsAreSubtotals="1" fieldPosition="0"/>
    </format>
  </formats>
  <pivotTableStyleInfo name="PivotStylePreset5_Accent5" showRowHeaders="1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65"/>
  <sheetViews>
    <sheetView tabSelected="1" zoomScale="102" zoomScaleNormal="102" workbookViewId="0">
      <pane ySplit="1" topLeftCell="A2" activePane="bottomLeft" state="frozen"/>
      <selection/>
      <selection pane="bottomLeft" activeCell="T65" sqref="T65"/>
    </sheetView>
  </sheetViews>
  <sheetFormatPr defaultColWidth="10.2857142857143" defaultRowHeight="18" customHeight="1"/>
  <cols>
    <col min="1" max="2" width="18" style="1" hidden="1" customWidth="1"/>
    <col min="3" max="3" width="16.2380952380952" style="1" customWidth="1"/>
    <col min="4" max="4" width="18" style="3" customWidth="1"/>
    <col min="5" max="8" width="18" style="1" hidden="1" customWidth="1"/>
    <col min="9" max="9" width="18" style="2" customWidth="1"/>
    <col min="10" max="10" width="18" style="1" hidden="1" customWidth="1"/>
    <col min="11" max="11" width="14.4285714285714" style="1" customWidth="1"/>
    <col min="12" max="19" width="18" style="1" hidden="1" customWidth="1"/>
    <col min="20" max="20" width="31.647619047619" style="1" customWidth="1"/>
    <col min="21" max="36" width="18" style="1" hidden="1" customWidth="1"/>
    <col min="37" max="37" width="11.3428571428571" style="3" customWidth="1"/>
    <col min="38" max="38" width="9.65714285714286" style="17" customWidth="1"/>
    <col min="39" max="39" width="10.2857142857143" style="1"/>
    <col min="40" max="40" width="36.5714285714286" style="20"/>
    <col min="41" max="41" width="16.8571428571429" style="21"/>
    <col min="42" max="42" width="12.8571428571429" style="22"/>
    <col min="43" max="16384" width="10.2857142857143" style="1"/>
  </cols>
  <sheetData>
    <row r="1" ht="26" customHeight="1" spans="1:38">
      <c r="A1" s="4" t="s">
        <v>0</v>
      </c>
      <c r="B1" s="4" t="s">
        <v>1</v>
      </c>
      <c r="C1" s="5" t="s">
        <v>2</v>
      </c>
      <c r="D1" s="18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3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8" t="s">
        <v>36</v>
      </c>
      <c r="AL1" s="26" t="s">
        <v>37</v>
      </c>
    </row>
    <row r="2" customHeight="1" spans="1:37">
      <c r="A2" s="1" t="s">
        <v>38</v>
      </c>
      <c r="B2" s="1" t="s">
        <v>39</v>
      </c>
      <c r="C2" s="1" t="s">
        <v>40</v>
      </c>
      <c r="D2" s="3" t="s">
        <v>41</v>
      </c>
      <c r="E2" s="1" t="s">
        <v>42</v>
      </c>
      <c r="F2" s="1" t="s">
        <v>41</v>
      </c>
      <c r="G2" s="1" t="s">
        <v>43</v>
      </c>
      <c r="I2" s="2">
        <v>1696000</v>
      </c>
      <c r="J2" s="1">
        <v>9066097.41</v>
      </c>
      <c r="K2" s="1" t="s">
        <v>44</v>
      </c>
      <c r="L2" s="1" t="s">
        <v>45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46</v>
      </c>
      <c r="T2" s="1" t="s">
        <v>47</v>
      </c>
      <c r="U2" s="1" t="s">
        <v>48</v>
      </c>
      <c r="V2" s="1" t="s">
        <v>46</v>
      </c>
      <c r="W2" s="1" t="s">
        <v>49</v>
      </c>
      <c r="X2" s="1" t="s">
        <v>46</v>
      </c>
      <c r="Y2" s="1" t="s">
        <v>46</v>
      </c>
      <c r="Z2" s="1" t="s">
        <v>46</v>
      </c>
      <c r="AA2" s="1" t="s">
        <v>46</v>
      </c>
      <c r="AB2" s="1" t="s">
        <v>46</v>
      </c>
      <c r="AC2" s="1" t="s">
        <v>46</v>
      </c>
      <c r="AD2" s="1" t="s">
        <v>46</v>
      </c>
      <c r="AE2" s="1" t="s">
        <v>50</v>
      </c>
      <c r="AF2" s="1" t="s">
        <v>51</v>
      </c>
      <c r="AG2" s="1" t="s">
        <v>46</v>
      </c>
      <c r="AH2" s="1" t="s">
        <v>46</v>
      </c>
      <c r="AI2" s="1" t="s">
        <v>46</v>
      </c>
      <c r="AJ2" s="1" t="s">
        <v>46</v>
      </c>
      <c r="AK2" s="3" t="s">
        <v>52</v>
      </c>
    </row>
    <row r="3" customHeight="1" spans="1:37">
      <c r="A3" s="1" t="s">
        <v>38</v>
      </c>
      <c r="B3" s="1" t="s">
        <v>39</v>
      </c>
      <c r="C3" s="1" t="s">
        <v>40</v>
      </c>
      <c r="D3" s="3" t="s">
        <v>53</v>
      </c>
      <c r="E3" s="1" t="s">
        <v>54</v>
      </c>
      <c r="F3" s="1" t="s">
        <v>53</v>
      </c>
      <c r="G3" s="1" t="s">
        <v>43</v>
      </c>
      <c r="H3" s="6"/>
      <c r="I3" s="2">
        <v>430000</v>
      </c>
      <c r="J3" s="6">
        <v>8138928.19</v>
      </c>
      <c r="K3" s="1" t="s">
        <v>44</v>
      </c>
      <c r="L3" s="1" t="s">
        <v>55</v>
      </c>
      <c r="M3" s="1" t="s">
        <v>56</v>
      </c>
      <c r="N3" s="1" t="s">
        <v>57</v>
      </c>
      <c r="O3" s="1" t="s">
        <v>46</v>
      </c>
      <c r="P3" s="1" t="s">
        <v>58</v>
      </c>
      <c r="Q3" s="1" t="s">
        <v>46</v>
      </c>
      <c r="R3" s="1" t="s">
        <v>46</v>
      </c>
      <c r="S3" s="1" t="s">
        <v>46</v>
      </c>
      <c r="T3" s="1" t="s">
        <v>47</v>
      </c>
      <c r="U3" s="1" t="s">
        <v>59</v>
      </c>
      <c r="V3" s="1" t="s">
        <v>46</v>
      </c>
      <c r="W3" s="1" t="s">
        <v>60</v>
      </c>
      <c r="X3" s="1" t="s">
        <v>61</v>
      </c>
      <c r="Y3" s="1" t="s">
        <v>46</v>
      </c>
      <c r="Z3" s="1" t="s">
        <v>46</v>
      </c>
      <c r="AA3" s="1" t="s">
        <v>46</v>
      </c>
      <c r="AB3" s="1" t="s">
        <v>46</v>
      </c>
      <c r="AC3" s="1" t="s">
        <v>46</v>
      </c>
      <c r="AD3" s="1" t="s">
        <v>46</v>
      </c>
      <c r="AE3" s="1" t="s">
        <v>62</v>
      </c>
      <c r="AF3" s="1" t="s">
        <v>51</v>
      </c>
      <c r="AG3" s="1" t="s">
        <v>46</v>
      </c>
      <c r="AH3" s="1" t="s">
        <v>46</v>
      </c>
      <c r="AI3" s="1" t="s">
        <v>46</v>
      </c>
      <c r="AJ3" s="1" t="s">
        <v>46</v>
      </c>
      <c r="AK3" s="3" t="s">
        <v>52</v>
      </c>
    </row>
    <row r="4" customHeight="1" spans="1:42">
      <c r="A4" s="1" t="s">
        <v>38</v>
      </c>
      <c r="B4" s="1" t="s">
        <v>39</v>
      </c>
      <c r="C4" s="1" t="s">
        <v>40</v>
      </c>
      <c r="D4" s="3" t="s">
        <v>63</v>
      </c>
      <c r="E4" s="1" t="s">
        <v>64</v>
      </c>
      <c r="F4" s="1" t="s">
        <v>63</v>
      </c>
      <c r="G4" s="1" t="s">
        <v>43</v>
      </c>
      <c r="H4" s="6"/>
      <c r="I4" s="2">
        <v>300000</v>
      </c>
      <c r="J4" s="6">
        <v>7342174.23</v>
      </c>
      <c r="K4" s="1" t="s">
        <v>44</v>
      </c>
      <c r="L4" s="1" t="s">
        <v>65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66</v>
      </c>
      <c r="U4" s="1" t="s">
        <v>67</v>
      </c>
      <c r="V4" s="1" t="s">
        <v>46</v>
      </c>
      <c r="W4" s="1" t="s">
        <v>68</v>
      </c>
      <c r="X4" s="1" t="s">
        <v>46</v>
      </c>
      <c r="Y4" s="1" t="s">
        <v>46</v>
      </c>
      <c r="Z4" s="1" t="s">
        <v>46</v>
      </c>
      <c r="AA4" s="1" t="s">
        <v>46</v>
      </c>
      <c r="AB4" s="1" t="s">
        <v>46</v>
      </c>
      <c r="AC4" s="1" t="s">
        <v>46</v>
      </c>
      <c r="AD4" s="1" t="s">
        <v>46</v>
      </c>
      <c r="AE4" s="1" t="s">
        <v>69</v>
      </c>
      <c r="AF4" s="1" t="s">
        <v>51</v>
      </c>
      <c r="AG4" s="1" t="s">
        <v>46</v>
      </c>
      <c r="AH4" s="1" t="s">
        <v>46</v>
      </c>
      <c r="AI4" s="1" t="s">
        <v>46</v>
      </c>
      <c r="AJ4" s="1" t="s">
        <v>46</v>
      </c>
      <c r="AK4" s="3" t="s">
        <v>52</v>
      </c>
      <c r="AL4" s="34" t="s">
        <v>70</v>
      </c>
      <c r="AN4" s="27" t="s">
        <v>19</v>
      </c>
      <c r="AO4" s="27" t="s">
        <v>71</v>
      </c>
      <c r="AP4" s="29"/>
    </row>
    <row r="5" customHeight="1" spans="1:42">
      <c r="A5" s="1" t="s">
        <v>38</v>
      </c>
      <c r="B5" s="1" t="s">
        <v>39</v>
      </c>
      <c r="C5" s="1" t="s">
        <v>40</v>
      </c>
      <c r="D5" s="3" t="s">
        <v>72</v>
      </c>
      <c r="E5" s="1" t="s">
        <v>73</v>
      </c>
      <c r="F5" s="1" t="s">
        <v>72</v>
      </c>
      <c r="G5" s="1" t="s">
        <v>43</v>
      </c>
      <c r="H5" s="6"/>
      <c r="I5" s="2">
        <v>190000</v>
      </c>
      <c r="J5" s="6">
        <v>6928174.23</v>
      </c>
      <c r="K5" s="1" t="s">
        <v>44</v>
      </c>
      <c r="L5" s="1" t="s">
        <v>74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75</v>
      </c>
      <c r="U5" s="1" t="s">
        <v>76</v>
      </c>
      <c r="V5" s="1" t="s">
        <v>46</v>
      </c>
      <c r="W5" s="1" t="s">
        <v>68</v>
      </c>
      <c r="X5" s="1" t="s">
        <v>46</v>
      </c>
      <c r="Y5" s="1" t="s">
        <v>46</v>
      </c>
      <c r="Z5" s="1" t="s">
        <v>46</v>
      </c>
      <c r="AA5" s="1" t="s">
        <v>46</v>
      </c>
      <c r="AB5" s="1" t="s">
        <v>46</v>
      </c>
      <c r="AC5" s="1" t="s">
        <v>46</v>
      </c>
      <c r="AD5" s="1" t="s">
        <v>46</v>
      </c>
      <c r="AE5" s="1" t="s">
        <v>77</v>
      </c>
      <c r="AF5" s="1" t="s">
        <v>51</v>
      </c>
      <c r="AG5" s="1" t="s">
        <v>46</v>
      </c>
      <c r="AH5" s="1" t="s">
        <v>46</v>
      </c>
      <c r="AI5" s="1" t="s">
        <v>46</v>
      </c>
      <c r="AJ5" s="1" t="s">
        <v>46</v>
      </c>
      <c r="AL5" s="17" t="s">
        <v>78</v>
      </c>
      <c r="AN5" s="27" t="s">
        <v>47</v>
      </c>
      <c r="AO5" s="30">
        <v>5060000</v>
      </c>
      <c r="AP5" s="29">
        <f>GETPIVOTDATA("收款金额",$AN$4,"付方名称","上海瑞桥深息医疗科技有限公司")/GETPIVOTDATA("收款金额",$AN$4)</f>
        <v>0.740837254558568</v>
      </c>
    </row>
    <row r="6" customHeight="1" spans="1:42">
      <c r="A6" s="1" t="s">
        <v>38</v>
      </c>
      <c r="B6" s="1" t="s">
        <v>39</v>
      </c>
      <c r="C6" s="1" t="s">
        <v>40</v>
      </c>
      <c r="D6" s="3" t="s">
        <v>79</v>
      </c>
      <c r="E6" s="1" t="s">
        <v>80</v>
      </c>
      <c r="F6" s="1" t="s">
        <v>79</v>
      </c>
      <c r="G6" s="1" t="s">
        <v>43</v>
      </c>
      <c r="H6" s="6"/>
      <c r="I6" s="2">
        <v>110000</v>
      </c>
      <c r="J6" s="6">
        <v>7038174.23</v>
      </c>
      <c r="K6" s="1" t="s">
        <v>44</v>
      </c>
      <c r="L6" s="1" t="s">
        <v>81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75</v>
      </c>
      <c r="U6" s="1" t="s">
        <v>76</v>
      </c>
      <c r="V6" s="1" t="s">
        <v>46</v>
      </c>
      <c r="W6" s="1" t="s">
        <v>68</v>
      </c>
      <c r="X6" s="1" t="s">
        <v>46</v>
      </c>
      <c r="Y6" s="1" t="s">
        <v>46</v>
      </c>
      <c r="Z6" s="1" t="s">
        <v>46</v>
      </c>
      <c r="AA6" s="1" t="s">
        <v>46</v>
      </c>
      <c r="AB6" s="1" t="s">
        <v>46</v>
      </c>
      <c r="AC6" s="1" t="s">
        <v>46</v>
      </c>
      <c r="AD6" s="1" t="s">
        <v>46</v>
      </c>
      <c r="AE6" s="1" t="s">
        <v>82</v>
      </c>
      <c r="AF6" s="1" t="s">
        <v>51</v>
      </c>
      <c r="AG6" s="1" t="s">
        <v>46</v>
      </c>
      <c r="AH6" s="1" t="s">
        <v>46</v>
      </c>
      <c r="AI6" s="1" t="s">
        <v>46</v>
      </c>
      <c r="AJ6" s="1" t="s">
        <v>46</v>
      </c>
      <c r="AL6" s="17" t="s">
        <v>78</v>
      </c>
      <c r="AN6" s="27" t="s">
        <v>83</v>
      </c>
      <c r="AO6" s="30">
        <v>800000</v>
      </c>
      <c r="AP6" s="29">
        <f>GETPIVOTDATA("收款金额",$AN$4,"付方名称","合肥迈缔科医疗设备有限公司")/GETPIVOTDATA("收款金额",$AN$4)</f>
        <v>0.117128419693054</v>
      </c>
    </row>
    <row r="7" customHeight="1" spans="1:42">
      <c r="A7" s="1" t="s">
        <v>38</v>
      </c>
      <c r="B7" s="1" t="s">
        <v>39</v>
      </c>
      <c r="C7" s="1" t="s">
        <v>40</v>
      </c>
      <c r="D7" s="3" t="s">
        <v>84</v>
      </c>
      <c r="E7" s="1" t="s">
        <v>85</v>
      </c>
      <c r="F7" s="1" t="s">
        <v>84</v>
      </c>
      <c r="G7" s="1" t="s">
        <v>86</v>
      </c>
      <c r="H7" s="6"/>
      <c r="I7" s="2">
        <v>50000</v>
      </c>
      <c r="J7" s="6">
        <v>5139125.58</v>
      </c>
      <c r="K7" s="1" t="s">
        <v>44</v>
      </c>
      <c r="L7" s="1" t="s">
        <v>87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46</v>
      </c>
      <c r="T7" s="1" t="s">
        <v>88</v>
      </c>
      <c r="U7" s="1" t="s">
        <v>89</v>
      </c>
      <c r="V7" s="1" t="s">
        <v>46</v>
      </c>
      <c r="W7" s="1" t="s">
        <v>90</v>
      </c>
      <c r="X7" s="1" t="s">
        <v>46</v>
      </c>
      <c r="Y7" s="1" t="s">
        <v>46</v>
      </c>
      <c r="Z7" s="1" t="s">
        <v>46</v>
      </c>
      <c r="AA7" s="1" t="s">
        <v>46</v>
      </c>
      <c r="AB7" s="1" t="s">
        <v>46</v>
      </c>
      <c r="AC7" s="1" t="s">
        <v>46</v>
      </c>
      <c r="AD7" s="1" t="s">
        <v>46</v>
      </c>
      <c r="AE7" s="1" t="s">
        <v>91</v>
      </c>
      <c r="AF7" s="1" t="s">
        <v>92</v>
      </c>
      <c r="AG7" s="1" t="s">
        <v>46</v>
      </c>
      <c r="AH7" s="1" t="s">
        <v>46</v>
      </c>
      <c r="AI7" s="1" t="s">
        <v>46</v>
      </c>
      <c r="AJ7" s="1" t="s">
        <v>46</v>
      </c>
      <c r="AK7" s="3" t="s">
        <v>52</v>
      </c>
      <c r="AN7" s="27" t="s">
        <v>75</v>
      </c>
      <c r="AO7" s="30">
        <v>300000</v>
      </c>
      <c r="AP7" s="29">
        <f>GETPIVOTDATA("收款金额",$AN$4,"付方名称","河南照腾医疗科技有限公司")/GETPIVOTDATA("收款金额",$AN$4)</f>
        <v>0.0439231573848953</v>
      </c>
    </row>
    <row r="8" customHeight="1" spans="3:42">
      <c r="C8" s="1" t="s">
        <v>93</v>
      </c>
      <c r="D8" s="23">
        <v>45412</v>
      </c>
      <c r="H8" s="6"/>
      <c r="I8" s="2">
        <v>42000</v>
      </c>
      <c r="J8" s="6"/>
      <c r="K8" s="1" t="s">
        <v>44</v>
      </c>
      <c r="T8" s="1" t="s">
        <v>94</v>
      </c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3" t="s">
        <v>52</v>
      </c>
      <c r="AN8" s="27" t="s">
        <v>66</v>
      </c>
      <c r="AO8" s="30">
        <v>300000</v>
      </c>
      <c r="AP8" s="29">
        <f>GETPIVOTDATA("收款金额",$AN$4,"付方名称","河南莘晟医疗科技有限公司")/GETPIVOTDATA("收款金额",$AN$4)</f>
        <v>0.0439231573848953</v>
      </c>
    </row>
    <row r="9" customHeight="1" spans="3:42">
      <c r="C9" s="1" t="s">
        <v>93</v>
      </c>
      <c r="D9" s="23">
        <v>45623</v>
      </c>
      <c r="H9" s="6"/>
      <c r="I9" s="2">
        <v>13600</v>
      </c>
      <c r="J9" s="6"/>
      <c r="K9" s="1" t="s">
        <v>44</v>
      </c>
      <c r="T9" s="1" t="s">
        <v>95</v>
      </c>
      <c r="AK9" s="3" t="s">
        <v>52</v>
      </c>
      <c r="AN9" s="27" t="s">
        <v>95</v>
      </c>
      <c r="AO9" s="30">
        <v>91800</v>
      </c>
      <c r="AP9" s="29"/>
    </row>
    <row r="10" customHeight="1" spans="3:42">
      <c r="C10" s="1" t="s">
        <v>93</v>
      </c>
      <c r="D10" s="23">
        <v>45531</v>
      </c>
      <c r="H10" s="6"/>
      <c r="I10" s="2">
        <v>12260.08</v>
      </c>
      <c r="J10" s="6"/>
      <c r="K10" s="1" t="s">
        <v>44</v>
      </c>
      <c r="T10" s="1" t="s">
        <v>96</v>
      </c>
      <c r="AK10" s="3" t="s">
        <v>52</v>
      </c>
      <c r="AN10" s="27" t="s">
        <v>94</v>
      </c>
      <c r="AO10" s="30">
        <v>50000</v>
      </c>
      <c r="AP10" s="29"/>
    </row>
    <row r="11" customHeight="1" spans="3:42">
      <c r="C11" s="1" t="s">
        <v>93</v>
      </c>
      <c r="D11" s="23">
        <v>45629</v>
      </c>
      <c r="H11" s="6"/>
      <c r="I11" s="2">
        <v>10200</v>
      </c>
      <c r="J11" s="6"/>
      <c r="K11" s="1" t="s">
        <v>44</v>
      </c>
      <c r="T11" s="1" t="s">
        <v>95</v>
      </c>
      <c r="AK11" s="3" t="s">
        <v>52</v>
      </c>
      <c r="AN11" s="27" t="s">
        <v>88</v>
      </c>
      <c r="AO11" s="30">
        <v>50000</v>
      </c>
      <c r="AP11" s="29"/>
    </row>
    <row r="12" ht="19" customHeight="1" spans="3:42">
      <c r="C12" s="1" t="s">
        <v>93</v>
      </c>
      <c r="D12" s="23">
        <v>45675</v>
      </c>
      <c r="H12" s="6"/>
      <c r="I12" s="2">
        <v>10200</v>
      </c>
      <c r="J12" s="6"/>
      <c r="K12" s="1" t="s">
        <v>44</v>
      </c>
      <c r="T12" s="1" t="s">
        <v>95</v>
      </c>
      <c r="AK12" s="3" t="s">
        <v>52</v>
      </c>
      <c r="AN12" s="27" t="s">
        <v>97</v>
      </c>
      <c r="AO12" s="30">
        <v>45500</v>
      </c>
      <c r="AP12" s="29"/>
    </row>
    <row r="13" customHeight="1" spans="3:42">
      <c r="C13" s="1" t="s">
        <v>93</v>
      </c>
      <c r="D13" s="23">
        <v>45695</v>
      </c>
      <c r="H13" s="6"/>
      <c r="I13" s="2">
        <v>10200</v>
      </c>
      <c r="J13" s="6"/>
      <c r="K13" s="1" t="s">
        <v>44</v>
      </c>
      <c r="T13" s="1" t="s">
        <v>95</v>
      </c>
      <c r="AK13" s="3" t="s">
        <v>52</v>
      </c>
      <c r="AN13" s="27" t="s">
        <v>98</v>
      </c>
      <c r="AO13" s="30">
        <v>25000</v>
      </c>
      <c r="AP13" s="29"/>
    </row>
    <row r="14" customHeight="1" spans="3:42">
      <c r="C14" s="1" t="s">
        <v>93</v>
      </c>
      <c r="D14" s="23">
        <v>45615</v>
      </c>
      <c r="H14" s="6"/>
      <c r="I14" s="2">
        <v>10020</v>
      </c>
      <c r="J14" s="6"/>
      <c r="K14" s="1" t="s">
        <v>44</v>
      </c>
      <c r="T14" s="1" t="s">
        <v>95</v>
      </c>
      <c r="AK14" s="3" t="s">
        <v>52</v>
      </c>
      <c r="AN14" s="27" t="s">
        <v>99</v>
      </c>
      <c r="AO14" s="30">
        <v>22800</v>
      </c>
      <c r="AP14" s="29"/>
    </row>
    <row r="15" customHeight="1" spans="3:42">
      <c r="C15" s="1" t="s">
        <v>93</v>
      </c>
      <c r="D15" s="23">
        <v>45657</v>
      </c>
      <c r="H15" s="6"/>
      <c r="I15" s="2">
        <v>9600</v>
      </c>
      <c r="J15" s="6"/>
      <c r="K15" s="1" t="s">
        <v>44</v>
      </c>
      <c r="T15" s="1" t="s">
        <v>99</v>
      </c>
      <c r="AK15" s="3" t="s">
        <v>52</v>
      </c>
      <c r="AN15" s="27" t="s">
        <v>100</v>
      </c>
      <c r="AO15" s="30">
        <v>18000</v>
      </c>
      <c r="AP15" s="29"/>
    </row>
    <row r="16" customHeight="1" spans="3:42">
      <c r="C16" s="1" t="s">
        <v>93</v>
      </c>
      <c r="D16" s="23">
        <v>45530</v>
      </c>
      <c r="H16" s="6"/>
      <c r="I16" s="2">
        <v>9000</v>
      </c>
      <c r="J16" s="6"/>
      <c r="K16" s="1" t="s">
        <v>44</v>
      </c>
      <c r="T16" s="1" t="s">
        <v>101</v>
      </c>
      <c r="AK16" s="3" t="s">
        <v>52</v>
      </c>
      <c r="AN16" s="27" t="s">
        <v>101</v>
      </c>
      <c r="AO16" s="30">
        <v>13000</v>
      </c>
      <c r="AP16" s="29"/>
    </row>
    <row r="17" customHeight="1" spans="3:42">
      <c r="C17" s="1" t="s">
        <v>93</v>
      </c>
      <c r="D17" s="23">
        <v>45412</v>
      </c>
      <c r="H17" s="6"/>
      <c r="I17" s="2">
        <v>8000</v>
      </c>
      <c r="J17" s="6"/>
      <c r="K17" s="1" t="s">
        <v>44</v>
      </c>
      <c r="T17" s="1" t="s">
        <v>94</v>
      </c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L17" s="17" t="s">
        <v>102</v>
      </c>
      <c r="AN17" s="27" t="s">
        <v>103</v>
      </c>
      <c r="AO17" s="30">
        <v>13000</v>
      </c>
      <c r="AP17" s="29"/>
    </row>
    <row r="18" customHeight="1" spans="1:42">
      <c r="A18" s="1" t="s">
        <v>38</v>
      </c>
      <c r="B18" s="1" t="s">
        <v>39</v>
      </c>
      <c r="C18" s="1" t="s">
        <v>40</v>
      </c>
      <c r="D18" s="23" t="s">
        <v>104</v>
      </c>
      <c r="E18" s="1" t="s">
        <v>105</v>
      </c>
      <c r="F18" s="1" t="s">
        <v>104</v>
      </c>
      <c r="G18" s="1" t="s">
        <v>43</v>
      </c>
      <c r="H18" s="6"/>
      <c r="I18" s="2">
        <v>7500</v>
      </c>
      <c r="J18" s="6">
        <v>6917571.47</v>
      </c>
      <c r="K18" s="1" t="s">
        <v>44</v>
      </c>
      <c r="L18" s="1" t="s">
        <v>106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46</v>
      </c>
      <c r="T18" s="1" t="s">
        <v>107</v>
      </c>
      <c r="U18" s="1" t="s">
        <v>108</v>
      </c>
      <c r="V18" s="1" t="s">
        <v>46</v>
      </c>
      <c r="W18" s="1" t="s">
        <v>109</v>
      </c>
      <c r="X18" s="1" t="s">
        <v>46</v>
      </c>
      <c r="Y18" s="1" t="s">
        <v>46</v>
      </c>
      <c r="Z18" s="1" t="s">
        <v>46</v>
      </c>
      <c r="AA18" s="1" t="s">
        <v>46</v>
      </c>
      <c r="AB18" s="1" t="s">
        <v>46</v>
      </c>
      <c r="AC18" s="1" t="s">
        <v>46</v>
      </c>
      <c r="AD18" s="1" t="s">
        <v>46</v>
      </c>
      <c r="AE18" s="1" t="s">
        <v>110</v>
      </c>
      <c r="AF18" s="1" t="s">
        <v>51</v>
      </c>
      <c r="AG18" s="1" t="s">
        <v>46</v>
      </c>
      <c r="AH18" s="1" t="s">
        <v>46</v>
      </c>
      <c r="AI18" s="1" t="s">
        <v>46</v>
      </c>
      <c r="AJ18" s="1" t="s">
        <v>46</v>
      </c>
      <c r="AK18" s="3" t="s">
        <v>52</v>
      </c>
      <c r="AL18" s="28"/>
      <c r="AN18" s="27" t="s">
        <v>96</v>
      </c>
      <c r="AO18" s="30">
        <v>12260.08</v>
      </c>
      <c r="AP18" s="29"/>
    </row>
    <row r="19" customHeight="1" spans="3:42">
      <c r="C19" s="1" t="s">
        <v>93</v>
      </c>
      <c r="D19" s="23">
        <v>45597</v>
      </c>
      <c r="H19" s="6"/>
      <c r="I19" s="2">
        <v>6800</v>
      </c>
      <c r="J19" s="6"/>
      <c r="K19" s="1" t="s">
        <v>44</v>
      </c>
      <c r="T19" s="1" t="s">
        <v>95</v>
      </c>
      <c r="AK19" s="3" t="s">
        <v>52</v>
      </c>
      <c r="AN19" s="27" t="s">
        <v>107</v>
      </c>
      <c r="AO19" s="30">
        <v>7500</v>
      </c>
      <c r="AP19" s="29"/>
    </row>
    <row r="20" customHeight="1" spans="1:42">
      <c r="A20" s="1" t="s">
        <v>38</v>
      </c>
      <c r="B20" s="1" t="s">
        <v>39</v>
      </c>
      <c r="C20" s="1" t="s">
        <v>40</v>
      </c>
      <c r="D20" s="23" t="s">
        <v>111</v>
      </c>
      <c r="E20" s="1" t="s">
        <v>112</v>
      </c>
      <c r="F20" s="1" t="s">
        <v>111</v>
      </c>
      <c r="G20" s="1" t="s">
        <v>86</v>
      </c>
      <c r="H20" s="6"/>
      <c r="I20" s="2">
        <v>6000</v>
      </c>
      <c r="J20" s="6">
        <v>12032417.84</v>
      </c>
      <c r="K20" s="1" t="s">
        <v>44</v>
      </c>
      <c r="L20" s="1" t="s">
        <v>113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46</v>
      </c>
      <c r="T20" s="1" t="s">
        <v>97</v>
      </c>
      <c r="U20" s="1" t="s">
        <v>114</v>
      </c>
      <c r="V20" s="1" t="s">
        <v>46</v>
      </c>
      <c r="W20" s="1" t="s">
        <v>115</v>
      </c>
      <c r="X20" s="1" t="s">
        <v>46</v>
      </c>
      <c r="Y20" s="1" t="s">
        <v>46</v>
      </c>
      <c r="Z20" s="1" t="s">
        <v>46</v>
      </c>
      <c r="AA20" s="1" t="s">
        <v>46</v>
      </c>
      <c r="AB20" s="1" t="s">
        <v>46</v>
      </c>
      <c r="AC20" s="1" t="s">
        <v>46</v>
      </c>
      <c r="AD20" s="1" t="s">
        <v>46</v>
      </c>
      <c r="AE20" s="1" t="s">
        <v>116</v>
      </c>
      <c r="AF20" s="1" t="s">
        <v>92</v>
      </c>
      <c r="AG20" s="1" t="s">
        <v>46</v>
      </c>
      <c r="AH20" s="1" t="s">
        <v>46</v>
      </c>
      <c r="AI20" s="1" t="s">
        <v>46</v>
      </c>
      <c r="AJ20" s="1" t="s">
        <v>46</v>
      </c>
      <c r="AK20" s="3" t="s">
        <v>52</v>
      </c>
      <c r="AN20" s="27" t="s">
        <v>117</v>
      </c>
      <c r="AO20" s="30">
        <v>7000</v>
      </c>
      <c r="AP20" s="29"/>
    </row>
    <row r="21" customHeight="1" spans="1:42">
      <c r="A21" s="1" t="s">
        <v>38</v>
      </c>
      <c r="B21" s="1" t="s">
        <v>39</v>
      </c>
      <c r="C21" s="1" t="s">
        <v>40</v>
      </c>
      <c r="D21" s="23" t="s">
        <v>118</v>
      </c>
      <c r="E21" s="1" t="s">
        <v>119</v>
      </c>
      <c r="F21" s="1" t="s">
        <v>118</v>
      </c>
      <c r="G21" s="1" t="s">
        <v>86</v>
      </c>
      <c r="H21" s="6"/>
      <c r="I21" s="2">
        <v>6000</v>
      </c>
      <c r="J21" s="6">
        <v>14741661.84</v>
      </c>
      <c r="K21" s="1" t="s">
        <v>44</v>
      </c>
      <c r="L21" s="1" t="s">
        <v>120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97</v>
      </c>
      <c r="U21" s="1" t="s">
        <v>114</v>
      </c>
      <c r="V21" s="1" t="s">
        <v>46</v>
      </c>
      <c r="W21" s="1" t="s">
        <v>115</v>
      </c>
      <c r="X21" s="1" t="s">
        <v>46</v>
      </c>
      <c r="Y21" s="1" t="s">
        <v>46</v>
      </c>
      <c r="Z21" s="1" t="s">
        <v>46</v>
      </c>
      <c r="AA21" s="1" t="s">
        <v>46</v>
      </c>
      <c r="AB21" s="1" t="s">
        <v>46</v>
      </c>
      <c r="AC21" s="1" t="s">
        <v>46</v>
      </c>
      <c r="AD21" s="1" t="s">
        <v>46</v>
      </c>
      <c r="AE21" s="1" t="s">
        <v>121</v>
      </c>
      <c r="AF21" s="1" t="s">
        <v>92</v>
      </c>
      <c r="AG21" s="1" t="s">
        <v>46</v>
      </c>
      <c r="AH21" s="1" t="s">
        <v>46</v>
      </c>
      <c r="AI21" s="1" t="s">
        <v>46</v>
      </c>
      <c r="AJ21" s="1" t="s">
        <v>46</v>
      </c>
      <c r="AK21" s="3" t="s">
        <v>52</v>
      </c>
      <c r="AN21" s="27" t="s">
        <v>122</v>
      </c>
      <c r="AO21" s="30">
        <v>3000</v>
      </c>
      <c r="AP21" s="29"/>
    </row>
    <row r="22" customHeight="1" spans="1:41">
      <c r="A22" s="1" t="s">
        <v>38</v>
      </c>
      <c r="B22" s="1" t="s">
        <v>39</v>
      </c>
      <c r="C22" s="1" t="s">
        <v>40</v>
      </c>
      <c r="D22" s="23" t="s">
        <v>123</v>
      </c>
      <c r="E22" s="1" t="s">
        <v>124</v>
      </c>
      <c r="F22" s="1" t="s">
        <v>123</v>
      </c>
      <c r="G22" s="1" t="s">
        <v>86</v>
      </c>
      <c r="H22" s="6"/>
      <c r="I22" s="2">
        <v>6000</v>
      </c>
      <c r="J22" s="6">
        <v>13683438.24</v>
      </c>
      <c r="K22" s="1" t="s">
        <v>44</v>
      </c>
      <c r="L22" s="1" t="s">
        <v>125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97</v>
      </c>
      <c r="U22" s="1" t="s">
        <v>114</v>
      </c>
      <c r="V22" s="1" t="s">
        <v>46</v>
      </c>
      <c r="W22" s="1" t="s">
        <v>115</v>
      </c>
      <c r="X22" s="1" t="s">
        <v>46</v>
      </c>
      <c r="Y22" s="1" t="s">
        <v>46</v>
      </c>
      <c r="Z22" s="1" t="s">
        <v>46</v>
      </c>
      <c r="AA22" s="1" t="s">
        <v>46</v>
      </c>
      <c r="AB22" s="1" t="s">
        <v>46</v>
      </c>
      <c r="AC22" s="1" t="s">
        <v>46</v>
      </c>
      <c r="AD22" s="1" t="s">
        <v>46</v>
      </c>
      <c r="AE22" s="1" t="s">
        <v>126</v>
      </c>
      <c r="AF22" s="1" t="s">
        <v>92</v>
      </c>
      <c r="AG22" s="1" t="s">
        <v>46</v>
      </c>
      <c r="AH22" s="1" t="s">
        <v>46</v>
      </c>
      <c r="AI22" s="1" t="s">
        <v>46</v>
      </c>
      <c r="AJ22" s="1" t="s">
        <v>46</v>
      </c>
      <c r="AK22" s="3" t="s">
        <v>52</v>
      </c>
      <c r="AN22" s="27" t="s">
        <v>127</v>
      </c>
      <c r="AO22" s="30">
        <v>3000</v>
      </c>
    </row>
    <row r="23" s="1" customFormat="1" customHeight="1" spans="3:41">
      <c r="C23" s="1" t="s">
        <v>93</v>
      </c>
      <c r="D23" s="23">
        <v>45672</v>
      </c>
      <c r="H23" s="6"/>
      <c r="I23" s="2">
        <v>6000</v>
      </c>
      <c r="J23" s="6"/>
      <c r="K23" s="1" t="s">
        <v>44</v>
      </c>
      <c r="T23" s="1" t="s">
        <v>100</v>
      </c>
      <c r="AK23" s="3" t="s">
        <v>52</v>
      </c>
      <c r="AL23" s="17"/>
      <c r="AN23" s="27" t="s">
        <v>128</v>
      </c>
      <c r="AO23" s="30">
        <v>3000</v>
      </c>
    </row>
    <row r="24" customHeight="1" spans="1:41">
      <c r="A24" s="1" t="s">
        <v>38</v>
      </c>
      <c r="B24" s="1" t="s">
        <v>39</v>
      </c>
      <c r="C24" s="1" t="s">
        <v>40</v>
      </c>
      <c r="D24" s="23" t="s">
        <v>129</v>
      </c>
      <c r="E24" s="1" t="s">
        <v>130</v>
      </c>
      <c r="F24" s="1" t="s">
        <v>129</v>
      </c>
      <c r="G24" s="1" t="s">
        <v>86</v>
      </c>
      <c r="I24" s="2">
        <v>5000</v>
      </c>
      <c r="J24" s="1">
        <v>8827986.65</v>
      </c>
      <c r="K24" s="1" t="s">
        <v>44</v>
      </c>
      <c r="L24" s="1" t="s">
        <v>131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46</v>
      </c>
      <c r="T24" s="1" t="s">
        <v>97</v>
      </c>
      <c r="U24" s="1" t="s">
        <v>114</v>
      </c>
      <c r="V24" s="1" t="s">
        <v>46</v>
      </c>
      <c r="W24" s="1" t="s">
        <v>115</v>
      </c>
      <c r="X24" s="1" t="s">
        <v>46</v>
      </c>
      <c r="Y24" s="1" t="s">
        <v>46</v>
      </c>
      <c r="Z24" s="1" t="s">
        <v>46</v>
      </c>
      <c r="AA24" s="1" t="s">
        <v>46</v>
      </c>
      <c r="AB24" s="1" t="s">
        <v>46</v>
      </c>
      <c r="AC24" s="1" t="s">
        <v>46</v>
      </c>
      <c r="AD24" s="1" t="s">
        <v>46</v>
      </c>
      <c r="AE24" s="1" t="s">
        <v>132</v>
      </c>
      <c r="AF24" s="1" t="s">
        <v>92</v>
      </c>
      <c r="AG24" s="1" t="s">
        <v>46</v>
      </c>
      <c r="AH24" s="1" t="s">
        <v>46</v>
      </c>
      <c r="AI24" s="1" t="s">
        <v>46</v>
      </c>
      <c r="AJ24" s="1" t="s">
        <v>46</v>
      </c>
      <c r="AK24" s="3" t="s">
        <v>52</v>
      </c>
      <c r="AN24" s="27" t="s">
        <v>133</v>
      </c>
      <c r="AO24" s="30">
        <v>2750</v>
      </c>
    </row>
    <row r="25" customFormat="1" customHeight="1" spans="1:41">
      <c r="A25" s="1" t="s">
        <v>38</v>
      </c>
      <c r="B25" s="1" t="s">
        <v>39</v>
      </c>
      <c r="C25" s="1" t="s">
        <v>40</v>
      </c>
      <c r="D25" s="23" t="s">
        <v>134</v>
      </c>
      <c r="E25" s="1" t="s">
        <v>135</v>
      </c>
      <c r="F25" s="1" t="s">
        <v>134</v>
      </c>
      <c r="G25" s="1" t="s">
        <v>86</v>
      </c>
      <c r="H25" s="1"/>
      <c r="I25" s="2">
        <v>4200</v>
      </c>
      <c r="J25" s="1">
        <v>5867754.1</v>
      </c>
      <c r="K25" s="1" t="s">
        <v>136</v>
      </c>
      <c r="L25" s="1" t="s">
        <v>137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97</v>
      </c>
      <c r="U25" s="1" t="s">
        <v>138</v>
      </c>
      <c r="V25" s="1" t="s">
        <v>46</v>
      </c>
      <c r="W25" s="1" t="s">
        <v>139</v>
      </c>
      <c r="X25" s="1" t="s">
        <v>46</v>
      </c>
      <c r="Y25" s="1" t="s">
        <v>46</v>
      </c>
      <c r="Z25" s="1" t="s">
        <v>46</v>
      </c>
      <c r="AA25" s="1" t="s">
        <v>46</v>
      </c>
      <c r="AB25" s="1" t="s">
        <v>46</v>
      </c>
      <c r="AC25" s="1" t="s">
        <v>46</v>
      </c>
      <c r="AD25" s="1" t="s">
        <v>46</v>
      </c>
      <c r="AE25" s="1" t="s">
        <v>140</v>
      </c>
      <c r="AF25" s="1" t="s">
        <v>92</v>
      </c>
      <c r="AG25" s="1" t="s">
        <v>46</v>
      </c>
      <c r="AH25" s="1" t="s">
        <v>46</v>
      </c>
      <c r="AI25" s="1" t="s">
        <v>46</v>
      </c>
      <c r="AJ25" s="1" t="s">
        <v>46</v>
      </c>
      <c r="AK25" s="3" t="s">
        <v>52</v>
      </c>
      <c r="AL25" s="17"/>
      <c r="AN25" s="27" t="s">
        <v>141</v>
      </c>
      <c r="AO25" s="30">
        <v>1500</v>
      </c>
    </row>
    <row r="26" customFormat="1" customHeight="1" spans="1:41">
      <c r="A26" s="1" t="s">
        <v>38</v>
      </c>
      <c r="B26" s="1" t="s">
        <v>39</v>
      </c>
      <c r="C26" s="1" t="s">
        <v>40</v>
      </c>
      <c r="D26" s="23">
        <v>45628</v>
      </c>
      <c r="E26" s="1" t="s">
        <v>142</v>
      </c>
      <c r="F26" s="1" t="s">
        <v>143</v>
      </c>
      <c r="G26" s="1" t="s">
        <v>86</v>
      </c>
      <c r="H26" s="1"/>
      <c r="I26" s="2">
        <v>4000</v>
      </c>
      <c r="J26" s="1">
        <v>7893689.07</v>
      </c>
      <c r="K26" s="1" t="s">
        <v>144</v>
      </c>
      <c r="L26" s="1" t="s">
        <v>145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98</v>
      </c>
      <c r="U26" s="1" t="s">
        <v>146</v>
      </c>
      <c r="V26" s="1" t="s">
        <v>46</v>
      </c>
      <c r="W26" s="1" t="s">
        <v>147</v>
      </c>
      <c r="X26" s="1" t="s">
        <v>46</v>
      </c>
      <c r="Y26" s="1" t="s">
        <v>46</v>
      </c>
      <c r="Z26" s="1" t="s">
        <v>46</v>
      </c>
      <c r="AA26" s="1" t="s">
        <v>46</v>
      </c>
      <c r="AB26" s="1" t="s">
        <v>46</v>
      </c>
      <c r="AC26" s="1" t="s">
        <v>46</v>
      </c>
      <c r="AD26" s="1" t="s">
        <v>46</v>
      </c>
      <c r="AE26" s="1" t="s">
        <v>148</v>
      </c>
      <c r="AF26" s="1" t="s">
        <v>92</v>
      </c>
      <c r="AG26" s="1" t="s">
        <v>46</v>
      </c>
      <c r="AH26" s="1" t="s">
        <v>46</v>
      </c>
      <c r="AI26" s="1" t="s">
        <v>46</v>
      </c>
      <c r="AJ26" s="1" t="s">
        <v>46</v>
      </c>
      <c r="AK26" s="3" t="s">
        <v>52</v>
      </c>
      <c r="AL26" s="28"/>
      <c r="AN26" s="27" t="s">
        <v>149</v>
      </c>
      <c r="AO26" s="30">
        <v>1000</v>
      </c>
    </row>
    <row r="27" customHeight="1" spans="1:41">
      <c r="A27" s="1" t="s">
        <v>38</v>
      </c>
      <c r="B27" s="1" t="s">
        <v>39</v>
      </c>
      <c r="C27" s="1" t="s">
        <v>40</v>
      </c>
      <c r="D27" s="23" t="s">
        <v>63</v>
      </c>
      <c r="E27" s="1" t="s">
        <v>150</v>
      </c>
      <c r="F27" s="1" t="s">
        <v>63</v>
      </c>
      <c r="G27" s="1" t="s">
        <v>86</v>
      </c>
      <c r="I27" s="2">
        <v>4000</v>
      </c>
      <c r="J27" s="1">
        <v>7042174.23</v>
      </c>
      <c r="K27" s="1" t="s">
        <v>144</v>
      </c>
      <c r="L27" s="1" t="s">
        <v>151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98</v>
      </c>
      <c r="U27" s="1" t="s">
        <v>146</v>
      </c>
      <c r="V27" s="1" t="s">
        <v>46</v>
      </c>
      <c r="W27" s="1" t="s">
        <v>147</v>
      </c>
      <c r="X27" s="1" t="s">
        <v>46</v>
      </c>
      <c r="Y27" s="1" t="s">
        <v>46</v>
      </c>
      <c r="Z27" s="1" t="s">
        <v>46</v>
      </c>
      <c r="AA27" s="1" t="s">
        <v>46</v>
      </c>
      <c r="AB27" s="1" t="s">
        <v>46</v>
      </c>
      <c r="AC27" s="1" t="s">
        <v>46</v>
      </c>
      <c r="AD27" s="1" t="s">
        <v>46</v>
      </c>
      <c r="AE27" s="1" t="s">
        <v>152</v>
      </c>
      <c r="AF27" s="1" t="s">
        <v>92</v>
      </c>
      <c r="AG27" s="1" t="s">
        <v>46</v>
      </c>
      <c r="AH27" s="1" t="s">
        <v>46</v>
      </c>
      <c r="AI27" s="1" t="s">
        <v>46</v>
      </c>
      <c r="AJ27" s="1" t="s">
        <v>46</v>
      </c>
      <c r="AK27" s="3" t="s">
        <v>52</v>
      </c>
      <c r="AN27" s="27" t="s">
        <v>153</v>
      </c>
      <c r="AO27" s="30">
        <v>6830110.08</v>
      </c>
    </row>
    <row r="28" customHeight="1" spans="3:41">
      <c r="C28" s="1" t="s">
        <v>93</v>
      </c>
      <c r="D28" s="23">
        <v>45694</v>
      </c>
      <c r="I28" s="2">
        <v>4000</v>
      </c>
      <c r="K28" s="1" t="s">
        <v>44</v>
      </c>
      <c r="T28" s="1" t="s">
        <v>101</v>
      </c>
      <c r="AK28" s="3" t="s">
        <v>52</v>
      </c>
      <c r="AN28"/>
      <c r="AO28"/>
    </row>
    <row r="29" customHeight="1" spans="1:38">
      <c r="A29" s="1" t="s">
        <v>38</v>
      </c>
      <c r="B29" s="1" t="s">
        <v>39</v>
      </c>
      <c r="C29" s="1" t="s">
        <v>40</v>
      </c>
      <c r="D29" s="23" t="s">
        <v>53</v>
      </c>
      <c r="E29" s="1" t="s">
        <v>154</v>
      </c>
      <c r="F29" s="1" t="s">
        <v>53</v>
      </c>
      <c r="G29" s="1" t="s">
        <v>86</v>
      </c>
      <c r="H29" s="6"/>
      <c r="I29" s="2">
        <v>3000</v>
      </c>
      <c r="J29" s="6">
        <v>8043177.12</v>
      </c>
      <c r="K29" s="1" t="s">
        <v>44</v>
      </c>
      <c r="L29" s="1" t="s">
        <v>155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128</v>
      </c>
      <c r="U29" s="1" t="s">
        <v>156</v>
      </c>
      <c r="V29" s="1" t="s">
        <v>46</v>
      </c>
      <c r="W29" s="1" t="s">
        <v>157</v>
      </c>
      <c r="X29" s="1" t="s">
        <v>46</v>
      </c>
      <c r="Y29" s="1" t="s">
        <v>46</v>
      </c>
      <c r="Z29" s="1" t="s">
        <v>46</v>
      </c>
      <c r="AA29" s="1" t="s">
        <v>46</v>
      </c>
      <c r="AB29" s="1" t="s">
        <v>46</v>
      </c>
      <c r="AC29" s="1" t="s">
        <v>46</v>
      </c>
      <c r="AD29" s="1" t="s">
        <v>46</v>
      </c>
      <c r="AE29" s="1" t="s">
        <v>158</v>
      </c>
      <c r="AF29" s="1" t="s">
        <v>92</v>
      </c>
      <c r="AG29" s="1" t="s">
        <v>46</v>
      </c>
      <c r="AH29" s="1" t="s">
        <v>46</v>
      </c>
      <c r="AI29" s="1" t="s">
        <v>46</v>
      </c>
      <c r="AJ29" s="1" t="s">
        <v>46</v>
      </c>
      <c r="AL29" s="17" t="s">
        <v>159</v>
      </c>
    </row>
    <row r="30" customHeight="1" spans="3:37">
      <c r="C30" s="1" t="s">
        <v>93</v>
      </c>
      <c r="D30" s="23">
        <v>45401</v>
      </c>
      <c r="I30" s="2">
        <v>3000</v>
      </c>
      <c r="K30" s="1" t="s">
        <v>44</v>
      </c>
      <c r="T30" s="1" t="s">
        <v>127</v>
      </c>
      <c r="AK30" s="3" t="s">
        <v>52</v>
      </c>
    </row>
    <row r="31" customHeight="1" spans="1:37">
      <c r="A31" s="1" t="s">
        <v>38</v>
      </c>
      <c r="B31" s="1" t="s">
        <v>39</v>
      </c>
      <c r="C31" s="1" t="s">
        <v>40</v>
      </c>
      <c r="D31" s="23" t="s">
        <v>160</v>
      </c>
      <c r="E31" s="1" t="s">
        <v>161</v>
      </c>
      <c r="F31" s="1" t="s">
        <v>160</v>
      </c>
      <c r="G31" s="1" t="s">
        <v>86</v>
      </c>
      <c r="I31" s="2">
        <v>3000</v>
      </c>
      <c r="J31" s="1">
        <v>5847070.18</v>
      </c>
      <c r="K31" s="1" t="s">
        <v>136</v>
      </c>
      <c r="L31" s="1" t="s">
        <v>162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97</v>
      </c>
      <c r="U31" s="1" t="s">
        <v>138</v>
      </c>
      <c r="V31" s="1" t="s">
        <v>46</v>
      </c>
      <c r="W31" s="1" t="s">
        <v>139</v>
      </c>
      <c r="X31" s="1" t="s">
        <v>46</v>
      </c>
      <c r="Y31" s="1" t="s">
        <v>46</v>
      </c>
      <c r="Z31" s="1" t="s">
        <v>46</v>
      </c>
      <c r="AA31" s="1" t="s">
        <v>46</v>
      </c>
      <c r="AB31" s="1" t="s">
        <v>46</v>
      </c>
      <c r="AC31" s="1" t="s">
        <v>46</v>
      </c>
      <c r="AD31" s="1" t="s">
        <v>46</v>
      </c>
      <c r="AE31" s="1" t="s">
        <v>163</v>
      </c>
      <c r="AF31" s="1" t="s">
        <v>92</v>
      </c>
      <c r="AG31" s="1" t="s">
        <v>46</v>
      </c>
      <c r="AH31" s="1" t="s">
        <v>46</v>
      </c>
      <c r="AI31" s="1" t="s">
        <v>46</v>
      </c>
      <c r="AJ31" s="1" t="s">
        <v>46</v>
      </c>
      <c r="AK31" s="3" t="s">
        <v>52</v>
      </c>
    </row>
    <row r="32" customHeight="1" spans="3:37">
      <c r="C32" s="1" t="s">
        <v>93</v>
      </c>
      <c r="D32" s="25">
        <v>45701</v>
      </c>
      <c r="I32" s="2">
        <v>2400</v>
      </c>
      <c r="K32" s="1" t="s">
        <v>44</v>
      </c>
      <c r="T32" s="1" t="s">
        <v>99</v>
      </c>
      <c r="AK32" s="3" t="s">
        <v>52</v>
      </c>
    </row>
    <row r="33" customHeight="1" spans="1:37">
      <c r="A33" s="1" t="s">
        <v>38</v>
      </c>
      <c r="B33" s="1" t="s">
        <v>39</v>
      </c>
      <c r="C33" s="1" t="s">
        <v>40</v>
      </c>
      <c r="D33" s="3" t="s">
        <v>164</v>
      </c>
      <c r="E33" s="1" t="s">
        <v>165</v>
      </c>
      <c r="F33" s="1" t="s">
        <v>164</v>
      </c>
      <c r="G33" s="1" t="s">
        <v>86</v>
      </c>
      <c r="H33" s="6"/>
      <c r="I33" s="2">
        <v>2100</v>
      </c>
      <c r="J33" s="6">
        <v>5278100.21</v>
      </c>
      <c r="K33" s="1" t="s">
        <v>136</v>
      </c>
      <c r="L33" s="1" t="s">
        <v>166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46</v>
      </c>
      <c r="T33" s="1" t="s">
        <v>97</v>
      </c>
      <c r="U33" s="1" t="s">
        <v>167</v>
      </c>
      <c r="V33" s="1" t="s">
        <v>46</v>
      </c>
      <c r="W33" s="1" t="s">
        <v>139</v>
      </c>
      <c r="X33" s="1" t="s">
        <v>46</v>
      </c>
      <c r="Y33" s="1" t="s">
        <v>46</v>
      </c>
      <c r="Z33" s="1" t="s">
        <v>46</v>
      </c>
      <c r="AA33" s="1" t="s">
        <v>46</v>
      </c>
      <c r="AB33" s="1" t="s">
        <v>46</v>
      </c>
      <c r="AC33" s="1" t="s">
        <v>46</v>
      </c>
      <c r="AD33" s="1" t="s">
        <v>46</v>
      </c>
      <c r="AE33" s="1" t="s">
        <v>168</v>
      </c>
      <c r="AF33" s="1" t="s">
        <v>92</v>
      </c>
      <c r="AG33" s="1" t="s">
        <v>46</v>
      </c>
      <c r="AH33" s="1" t="s">
        <v>46</v>
      </c>
      <c r="AI33" s="1" t="s">
        <v>46</v>
      </c>
      <c r="AJ33" s="1" t="s">
        <v>46</v>
      </c>
      <c r="AK33" s="3" t="s">
        <v>52</v>
      </c>
    </row>
    <row r="34" customHeight="1" spans="1:37">
      <c r="A34" s="1" t="s">
        <v>38</v>
      </c>
      <c r="B34" s="1" t="s">
        <v>39</v>
      </c>
      <c r="C34" s="1" t="s">
        <v>40</v>
      </c>
      <c r="D34" s="3" t="s">
        <v>53</v>
      </c>
      <c r="E34" s="1" t="s">
        <v>169</v>
      </c>
      <c r="F34" s="1" t="s">
        <v>53</v>
      </c>
      <c r="G34" s="1" t="s">
        <v>43</v>
      </c>
      <c r="H34" s="6"/>
      <c r="I34" s="2">
        <v>2000</v>
      </c>
      <c r="J34" s="6">
        <v>8140928.19</v>
      </c>
      <c r="K34" s="1" t="s">
        <v>44</v>
      </c>
      <c r="L34" s="1" t="s">
        <v>170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133</v>
      </c>
      <c r="U34" s="1" t="s">
        <v>171</v>
      </c>
      <c r="V34" s="1" t="s">
        <v>46</v>
      </c>
      <c r="W34" s="1" t="s">
        <v>172</v>
      </c>
      <c r="X34" s="1" t="s">
        <v>46</v>
      </c>
      <c r="Y34" s="1" t="s">
        <v>46</v>
      </c>
      <c r="Z34" s="1" t="s">
        <v>46</v>
      </c>
      <c r="AA34" s="1" t="s">
        <v>46</v>
      </c>
      <c r="AB34" s="1" t="s">
        <v>46</v>
      </c>
      <c r="AC34" s="1" t="s">
        <v>46</v>
      </c>
      <c r="AD34" s="1" t="s">
        <v>46</v>
      </c>
      <c r="AE34" s="1" t="s">
        <v>173</v>
      </c>
      <c r="AF34" s="1" t="s">
        <v>51</v>
      </c>
      <c r="AG34" s="1" t="s">
        <v>46</v>
      </c>
      <c r="AH34" s="1" t="s">
        <v>46</v>
      </c>
      <c r="AI34" s="1" t="s">
        <v>46</v>
      </c>
      <c r="AJ34" s="1" t="s">
        <v>46</v>
      </c>
      <c r="AK34" s="3" t="s">
        <v>52</v>
      </c>
    </row>
    <row r="35" customHeight="1" spans="1:37">
      <c r="A35" s="1" t="s">
        <v>38</v>
      </c>
      <c r="B35" s="1" t="s">
        <v>39</v>
      </c>
      <c r="C35" s="1" t="s">
        <v>40</v>
      </c>
      <c r="D35" s="3" t="s">
        <v>174</v>
      </c>
      <c r="E35" s="1" t="s">
        <v>175</v>
      </c>
      <c r="F35" s="1" t="s">
        <v>174</v>
      </c>
      <c r="G35" s="1" t="s">
        <v>86</v>
      </c>
      <c r="I35" s="2">
        <v>2000</v>
      </c>
      <c r="J35" s="1">
        <v>6832743.96</v>
      </c>
      <c r="K35" s="1" t="s">
        <v>136</v>
      </c>
      <c r="L35" s="1" t="s">
        <v>176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97</v>
      </c>
      <c r="U35" s="1" t="s">
        <v>138</v>
      </c>
      <c r="V35" s="1" t="s">
        <v>46</v>
      </c>
      <c r="W35" s="1" t="s">
        <v>139</v>
      </c>
      <c r="X35" s="1" t="s">
        <v>46</v>
      </c>
      <c r="Y35" s="1" t="s">
        <v>46</v>
      </c>
      <c r="Z35" s="1" t="s">
        <v>46</v>
      </c>
      <c r="AA35" s="1" t="s">
        <v>46</v>
      </c>
      <c r="AB35" s="1" t="s">
        <v>46</v>
      </c>
      <c r="AC35" s="1" t="s">
        <v>46</v>
      </c>
      <c r="AD35" s="1" t="s">
        <v>46</v>
      </c>
      <c r="AE35" s="1" t="s">
        <v>177</v>
      </c>
      <c r="AF35" s="1" t="s">
        <v>92</v>
      </c>
      <c r="AG35" s="1" t="s">
        <v>46</v>
      </c>
      <c r="AH35" s="1" t="s">
        <v>46</v>
      </c>
      <c r="AI35" s="1" t="s">
        <v>46</v>
      </c>
      <c r="AJ35" s="1" t="s">
        <v>46</v>
      </c>
      <c r="AK35" s="3" t="s">
        <v>52</v>
      </c>
    </row>
    <row r="36" customHeight="1" spans="1:37">
      <c r="A36" s="1" t="s">
        <v>38</v>
      </c>
      <c r="B36" s="1" t="s">
        <v>39</v>
      </c>
      <c r="C36" s="1" t="s">
        <v>40</v>
      </c>
      <c r="D36" s="24" t="s">
        <v>178</v>
      </c>
      <c r="E36" s="1" t="s">
        <v>179</v>
      </c>
      <c r="F36" s="1" t="s">
        <v>178</v>
      </c>
      <c r="G36" s="1" t="s">
        <v>86</v>
      </c>
      <c r="I36" s="2">
        <v>2000</v>
      </c>
      <c r="J36" s="1">
        <v>5928870.73</v>
      </c>
      <c r="K36" s="1" t="s">
        <v>144</v>
      </c>
      <c r="L36" s="1" t="s">
        <v>180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46</v>
      </c>
      <c r="T36" s="17" t="s">
        <v>98</v>
      </c>
      <c r="U36" s="1" t="s">
        <v>146</v>
      </c>
      <c r="V36" s="1" t="s">
        <v>46</v>
      </c>
      <c r="W36" s="1" t="s">
        <v>147</v>
      </c>
      <c r="X36" s="1" t="s">
        <v>46</v>
      </c>
      <c r="Y36" s="1" t="s">
        <v>46</v>
      </c>
      <c r="Z36" s="1" t="s">
        <v>46</v>
      </c>
      <c r="AA36" s="1" t="s">
        <v>46</v>
      </c>
      <c r="AB36" s="1" t="s">
        <v>46</v>
      </c>
      <c r="AC36" s="1" t="s">
        <v>46</v>
      </c>
      <c r="AD36" s="1" t="s">
        <v>46</v>
      </c>
      <c r="AE36" s="1" t="s">
        <v>181</v>
      </c>
      <c r="AF36" s="1" t="s">
        <v>92</v>
      </c>
      <c r="AG36" s="1" t="s">
        <v>46</v>
      </c>
      <c r="AH36" s="1" t="s">
        <v>46</v>
      </c>
      <c r="AI36" s="1" t="s">
        <v>46</v>
      </c>
      <c r="AJ36" s="1" t="s">
        <v>46</v>
      </c>
      <c r="AK36" s="3" t="s">
        <v>52</v>
      </c>
    </row>
    <row r="37" customHeight="1" spans="3:37">
      <c r="C37" s="1" t="s">
        <v>93</v>
      </c>
      <c r="D37" s="25">
        <v>45623</v>
      </c>
      <c r="I37" s="2">
        <v>1700</v>
      </c>
      <c r="K37" s="1" t="s">
        <v>44</v>
      </c>
      <c r="T37" s="1" t="s">
        <v>95</v>
      </c>
      <c r="AK37" s="3" t="s">
        <v>52</v>
      </c>
    </row>
    <row r="38" customHeight="1" spans="3:37">
      <c r="C38" s="1" t="s">
        <v>93</v>
      </c>
      <c r="D38" s="25">
        <v>45601</v>
      </c>
      <c r="I38" s="2">
        <v>1500</v>
      </c>
      <c r="K38" s="1" t="s">
        <v>44</v>
      </c>
      <c r="T38" s="1" t="s">
        <v>141</v>
      </c>
      <c r="AK38" s="3" t="s">
        <v>52</v>
      </c>
    </row>
    <row r="39" s="1" customFormat="1" customHeight="1" spans="1:41">
      <c r="A39" s="1" t="s">
        <v>38</v>
      </c>
      <c r="B39" s="1" t="s">
        <v>39</v>
      </c>
      <c r="C39" s="1" t="s">
        <v>40</v>
      </c>
      <c r="D39" s="3" t="s">
        <v>182</v>
      </c>
      <c r="E39" s="1" t="s">
        <v>183</v>
      </c>
      <c r="F39" s="1" t="s">
        <v>182</v>
      </c>
      <c r="G39" s="1" t="s">
        <v>86</v>
      </c>
      <c r="H39" s="6"/>
      <c r="I39" s="2">
        <v>1200</v>
      </c>
      <c r="J39" s="6">
        <v>3620787.59</v>
      </c>
      <c r="K39" s="1" t="s">
        <v>136</v>
      </c>
      <c r="L39" s="1" t="s">
        <v>184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46</v>
      </c>
      <c r="T39" s="1" t="s">
        <v>97</v>
      </c>
      <c r="U39" s="1" t="s">
        <v>167</v>
      </c>
      <c r="V39" s="1" t="s">
        <v>46</v>
      </c>
      <c r="W39" s="1" t="s">
        <v>139</v>
      </c>
      <c r="X39" s="1" t="s">
        <v>46</v>
      </c>
      <c r="Y39" s="1" t="s">
        <v>46</v>
      </c>
      <c r="Z39" s="1" t="s">
        <v>46</v>
      </c>
      <c r="AA39" s="1" t="s">
        <v>46</v>
      </c>
      <c r="AB39" s="1" t="s">
        <v>46</v>
      </c>
      <c r="AC39" s="1" t="s">
        <v>46</v>
      </c>
      <c r="AD39" s="1" t="s">
        <v>46</v>
      </c>
      <c r="AE39" s="1" t="s">
        <v>185</v>
      </c>
      <c r="AF39" s="1" t="s">
        <v>92</v>
      </c>
      <c r="AG39" s="1" t="s">
        <v>46</v>
      </c>
      <c r="AH39" s="1" t="s">
        <v>46</v>
      </c>
      <c r="AI39" s="1" t="s">
        <v>46</v>
      </c>
      <c r="AJ39" s="1" t="s">
        <v>46</v>
      </c>
      <c r="AK39" s="3" t="s">
        <v>52</v>
      </c>
      <c r="AL39" s="17"/>
      <c r="AN39" s="20"/>
      <c r="AO39" s="21"/>
    </row>
    <row r="40" customHeight="1" spans="3:37">
      <c r="C40" s="1" t="s">
        <v>93</v>
      </c>
      <c r="D40" s="25">
        <v>45483</v>
      </c>
      <c r="I40" s="2">
        <v>1000</v>
      </c>
      <c r="K40" s="1" t="s">
        <v>44</v>
      </c>
      <c r="T40" s="1" t="s">
        <v>149</v>
      </c>
      <c r="AK40" s="3" t="s">
        <v>52</v>
      </c>
    </row>
    <row r="41" s="1" customFormat="1" customHeight="1" spans="3:41">
      <c r="C41" s="1" t="s">
        <v>93</v>
      </c>
      <c r="D41" s="25">
        <v>45423</v>
      </c>
      <c r="I41" s="2">
        <v>750</v>
      </c>
      <c r="K41" s="1" t="s">
        <v>44</v>
      </c>
      <c r="T41" s="1" t="s">
        <v>133</v>
      </c>
      <c r="AK41" s="3" t="s">
        <v>52</v>
      </c>
      <c r="AL41" s="17"/>
      <c r="AN41" s="20"/>
      <c r="AO41" s="21"/>
    </row>
    <row r="42" customHeight="1" spans="3:37">
      <c r="C42" s="1" t="s">
        <v>93</v>
      </c>
      <c r="D42" s="25">
        <v>45615</v>
      </c>
      <c r="I42" s="2">
        <v>180</v>
      </c>
      <c r="K42" s="1" t="s">
        <v>44</v>
      </c>
      <c r="T42" s="1" t="s">
        <v>95</v>
      </c>
      <c r="AK42" s="3" t="s">
        <v>52</v>
      </c>
    </row>
    <row r="43" customHeight="1" spans="3:37">
      <c r="C43" s="1" t="s">
        <v>93</v>
      </c>
      <c r="D43" s="25">
        <v>45714</v>
      </c>
      <c r="I43" s="2">
        <v>592000</v>
      </c>
      <c r="K43" s="1" t="s">
        <v>44</v>
      </c>
      <c r="T43" s="1" t="s">
        <v>47</v>
      </c>
      <c r="AK43" s="3" t="s">
        <v>52</v>
      </c>
    </row>
    <row r="44" customHeight="1" spans="3:37">
      <c r="C44" s="1" t="s">
        <v>93</v>
      </c>
      <c r="D44" s="25">
        <v>45714</v>
      </c>
      <c r="I44" s="2">
        <v>3000</v>
      </c>
      <c r="K44" s="1" t="s">
        <v>44</v>
      </c>
      <c r="T44" s="1" t="s">
        <v>122</v>
      </c>
      <c r="AK44" s="3" t="s">
        <v>52</v>
      </c>
    </row>
    <row r="45" customHeight="1" spans="1:38">
      <c r="A45" s="1" t="s">
        <v>38</v>
      </c>
      <c r="B45" s="1" t="s">
        <v>39</v>
      </c>
      <c r="C45" s="1" t="s">
        <v>40</v>
      </c>
      <c r="D45" s="24" t="s">
        <v>186</v>
      </c>
      <c r="E45" s="1" t="s">
        <v>187</v>
      </c>
      <c r="F45" s="1" t="s">
        <v>186</v>
      </c>
      <c r="G45" s="1" t="s">
        <v>86</v>
      </c>
      <c r="I45" s="2">
        <v>15000</v>
      </c>
      <c r="J45" s="1">
        <v>4367847.77</v>
      </c>
      <c r="K45" s="1" t="s">
        <v>144</v>
      </c>
      <c r="L45" s="1" t="s">
        <v>188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46</v>
      </c>
      <c r="T45" s="1" t="s">
        <v>98</v>
      </c>
      <c r="U45" s="1" t="s">
        <v>146</v>
      </c>
      <c r="V45" s="1" t="s">
        <v>46</v>
      </c>
      <c r="W45" s="1" t="s">
        <v>147</v>
      </c>
      <c r="X45" s="1" t="s">
        <v>46</v>
      </c>
      <c r="Y45" s="1" t="s">
        <v>46</v>
      </c>
      <c r="Z45" s="1" t="s">
        <v>46</v>
      </c>
      <c r="AA45" s="1" t="s">
        <v>46</v>
      </c>
      <c r="AB45" s="1" t="s">
        <v>46</v>
      </c>
      <c r="AC45" s="1" t="s">
        <v>46</v>
      </c>
      <c r="AD45" s="1" t="s">
        <v>46</v>
      </c>
      <c r="AE45" s="1" t="s">
        <v>189</v>
      </c>
      <c r="AF45" s="1" t="s">
        <v>92</v>
      </c>
      <c r="AG45" s="1" t="s">
        <v>46</v>
      </c>
      <c r="AH45" s="1" t="s">
        <v>46</v>
      </c>
      <c r="AI45" s="1" t="s">
        <v>46</v>
      </c>
      <c r="AJ45" s="1" t="s">
        <v>46</v>
      </c>
      <c r="AK45" s="3" t="s">
        <v>52</v>
      </c>
      <c r="AL45" s="34"/>
    </row>
    <row r="46" customFormat="1" ht="20" customHeight="1" spans="1:41">
      <c r="A46" t="s">
        <v>38</v>
      </c>
      <c r="B46" t="s">
        <v>39</v>
      </c>
      <c r="C46" s="1" t="s">
        <v>40</v>
      </c>
      <c r="D46" s="24" t="s">
        <v>190</v>
      </c>
      <c r="E46" s="1" t="s">
        <v>191</v>
      </c>
      <c r="F46" s="1" t="s">
        <v>190</v>
      </c>
      <c r="G46" s="1" t="s">
        <v>43</v>
      </c>
      <c r="H46" s="1"/>
      <c r="I46" s="2">
        <v>800000</v>
      </c>
      <c r="J46" s="1">
        <v>4369623.74</v>
      </c>
      <c r="K46" s="19" t="s">
        <v>192</v>
      </c>
      <c r="L46" s="1" t="s">
        <v>193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83</v>
      </c>
      <c r="U46" t="s">
        <v>194</v>
      </c>
      <c r="V46" t="s">
        <v>46</v>
      </c>
      <c r="W46" t="s">
        <v>195</v>
      </c>
      <c r="X46" t="s">
        <v>46</v>
      </c>
      <c r="Y46" t="s">
        <v>46</v>
      </c>
      <c r="Z46" t="s">
        <v>46</v>
      </c>
      <c r="AA46" t="s">
        <v>46</v>
      </c>
      <c r="AB46" t="s">
        <v>46</v>
      </c>
      <c r="AC46" t="s">
        <v>46</v>
      </c>
      <c r="AD46" t="s">
        <v>46</v>
      </c>
      <c r="AE46" t="s">
        <v>196</v>
      </c>
      <c r="AF46" t="s">
        <v>51</v>
      </c>
      <c r="AG46" t="s">
        <v>46</v>
      </c>
      <c r="AH46" t="s">
        <v>46</v>
      </c>
      <c r="AI46" t="s">
        <v>46</v>
      </c>
      <c r="AJ46" t="s">
        <v>46</v>
      </c>
      <c r="AK46" s="3" t="s">
        <v>52</v>
      </c>
      <c r="AL46" s="33" t="s">
        <v>197</v>
      </c>
      <c r="AN46" s="27"/>
      <c r="AO46" s="30"/>
    </row>
    <row r="47" customFormat="1" ht="20" customHeight="1" spans="1:41">
      <c r="A47" t="s">
        <v>38</v>
      </c>
      <c r="B47" t="s">
        <v>39</v>
      </c>
      <c r="C47" s="1" t="s">
        <v>40</v>
      </c>
      <c r="D47" s="24" t="s">
        <v>198</v>
      </c>
      <c r="E47" s="1" t="s">
        <v>199</v>
      </c>
      <c r="F47" s="1" t="s">
        <v>198</v>
      </c>
      <c r="G47" s="1" t="s">
        <v>43</v>
      </c>
      <c r="H47" s="1"/>
      <c r="I47" s="2">
        <v>582000</v>
      </c>
      <c r="J47" s="1">
        <v>4843043.99</v>
      </c>
      <c r="K47" s="1" t="s">
        <v>44</v>
      </c>
      <c r="L47" s="1" t="s">
        <v>200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47</v>
      </c>
      <c r="U47" t="s">
        <v>48</v>
      </c>
      <c r="V47" t="s">
        <v>46</v>
      </c>
      <c r="W47" t="s">
        <v>49</v>
      </c>
      <c r="X47" t="s">
        <v>46</v>
      </c>
      <c r="Y47" t="s">
        <v>46</v>
      </c>
      <c r="Z47" t="s">
        <v>46</v>
      </c>
      <c r="AA47" t="s">
        <v>46</v>
      </c>
      <c r="AB47" t="s">
        <v>46</v>
      </c>
      <c r="AC47" t="s">
        <v>46</v>
      </c>
      <c r="AD47" t="s">
        <v>46</v>
      </c>
      <c r="AE47" t="s">
        <v>201</v>
      </c>
      <c r="AF47" t="s">
        <v>51</v>
      </c>
      <c r="AG47" t="s">
        <v>46</v>
      </c>
      <c r="AH47" t="s">
        <v>46</v>
      </c>
      <c r="AI47" t="s">
        <v>46</v>
      </c>
      <c r="AJ47" t="s">
        <v>46</v>
      </c>
      <c r="AK47" s="3" t="s">
        <v>52</v>
      </c>
      <c r="AL47" s="28"/>
      <c r="AN47" s="27"/>
      <c r="AO47" s="30"/>
    </row>
    <row r="48" customFormat="1" ht="20" customHeight="1" spans="1:41">
      <c r="A48" t="s">
        <v>38</v>
      </c>
      <c r="B48" t="s">
        <v>39</v>
      </c>
      <c r="C48" s="1" t="s">
        <v>40</v>
      </c>
      <c r="D48" s="24" t="s">
        <v>202</v>
      </c>
      <c r="E48" s="1" t="s">
        <v>203</v>
      </c>
      <c r="F48" s="1" t="s">
        <v>202</v>
      </c>
      <c r="G48" s="1" t="s">
        <v>86</v>
      </c>
      <c r="H48" s="1"/>
      <c r="I48" s="2">
        <v>6000</v>
      </c>
      <c r="J48" s="1">
        <v>3038312.87</v>
      </c>
      <c r="K48" s="1" t="s">
        <v>44</v>
      </c>
      <c r="L48" s="1" t="s">
        <v>204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99</v>
      </c>
      <c r="U48" t="s">
        <v>205</v>
      </c>
      <c r="V48" t="s">
        <v>46</v>
      </c>
      <c r="W48" t="s">
        <v>206</v>
      </c>
      <c r="X48" t="s">
        <v>46</v>
      </c>
      <c r="Y48" t="s">
        <v>46</v>
      </c>
      <c r="Z48" t="s">
        <v>46</v>
      </c>
      <c r="AA48" t="s">
        <v>46</v>
      </c>
      <c r="AB48" t="s">
        <v>46</v>
      </c>
      <c r="AC48" t="s">
        <v>46</v>
      </c>
      <c r="AD48" t="s">
        <v>46</v>
      </c>
      <c r="AE48" t="s">
        <v>207</v>
      </c>
      <c r="AF48" t="s">
        <v>92</v>
      </c>
      <c r="AG48" t="s">
        <v>46</v>
      </c>
      <c r="AH48" t="s">
        <v>46</v>
      </c>
      <c r="AI48" t="s">
        <v>46</v>
      </c>
      <c r="AJ48" t="s">
        <v>46</v>
      </c>
      <c r="AK48" s="3" t="s">
        <v>52</v>
      </c>
      <c r="AL48" s="28"/>
      <c r="AN48" s="27"/>
      <c r="AO48" s="30"/>
    </row>
    <row r="49" customHeight="1" spans="3:37">
      <c r="C49" s="1" t="s">
        <v>93</v>
      </c>
      <c r="D49" s="25">
        <v>45765</v>
      </c>
      <c r="I49" s="2">
        <v>10200</v>
      </c>
      <c r="K49" s="1" t="s">
        <v>44</v>
      </c>
      <c r="T49" s="1" t="s">
        <v>95</v>
      </c>
      <c r="AK49" s="3" t="s">
        <v>52</v>
      </c>
    </row>
    <row r="50" customHeight="1" spans="1:37">
      <c r="A50" s="1" t="s">
        <v>38</v>
      </c>
      <c r="B50" s="1" t="s">
        <v>39</v>
      </c>
      <c r="C50" s="1" t="s">
        <v>40</v>
      </c>
      <c r="D50" s="24" t="s">
        <v>208</v>
      </c>
      <c r="E50" s="1" t="s">
        <v>209</v>
      </c>
      <c r="F50" s="1" t="s">
        <v>208</v>
      </c>
      <c r="G50" s="1" t="s">
        <v>86</v>
      </c>
      <c r="I50" s="2">
        <v>10000</v>
      </c>
      <c r="J50" s="1">
        <v>3048312.87</v>
      </c>
      <c r="K50" s="1" t="s">
        <v>136</v>
      </c>
      <c r="L50" s="1" t="s">
        <v>210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97</v>
      </c>
      <c r="U50" s="1" t="s">
        <v>138</v>
      </c>
      <c r="V50" s="1" t="s">
        <v>46</v>
      </c>
      <c r="W50" s="1" t="s">
        <v>139</v>
      </c>
      <c r="X50" s="1" t="s">
        <v>46</v>
      </c>
      <c r="Y50" s="1" t="s">
        <v>46</v>
      </c>
      <c r="Z50" s="1" t="s">
        <v>46</v>
      </c>
      <c r="AA50" s="1" t="s">
        <v>46</v>
      </c>
      <c r="AB50" s="1" t="s">
        <v>46</v>
      </c>
      <c r="AC50" s="1" t="s">
        <v>46</v>
      </c>
      <c r="AD50" s="1" t="s">
        <v>46</v>
      </c>
      <c r="AE50" s="1" t="s">
        <v>211</v>
      </c>
      <c r="AF50" s="1" t="s">
        <v>92</v>
      </c>
      <c r="AG50" s="1" t="s">
        <v>46</v>
      </c>
      <c r="AH50" s="1" t="s">
        <v>46</v>
      </c>
      <c r="AI50" s="1" t="s">
        <v>46</v>
      </c>
      <c r="AJ50" s="1" t="s">
        <v>46</v>
      </c>
      <c r="AK50" s="3" t="s">
        <v>52</v>
      </c>
    </row>
    <row r="51" customHeight="1" spans="1:37">
      <c r="A51" s="1" t="s">
        <v>38</v>
      </c>
      <c r="B51" s="1" t="s">
        <v>39</v>
      </c>
      <c r="C51" s="1" t="s">
        <v>40</v>
      </c>
      <c r="D51" s="24" t="s">
        <v>212</v>
      </c>
      <c r="E51" s="1" t="s">
        <v>213</v>
      </c>
      <c r="F51" s="1" t="s">
        <v>212</v>
      </c>
      <c r="G51" s="1" t="s">
        <v>43</v>
      </c>
      <c r="I51" s="2">
        <v>5000</v>
      </c>
      <c r="J51" s="1">
        <v>2892643.2</v>
      </c>
      <c r="K51" s="1" t="s">
        <v>214</v>
      </c>
      <c r="L51" s="1" t="s">
        <v>215</v>
      </c>
      <c r="M51" s="1" t="s">
        <v>216</v>
      </c>
      <c r="N51" s="1" t="s">
        <v>57</v>
      </c>
      <c r="O51" s="1" t="s">
        <v>46</v>
      </c>
      <c r="P51" s="1" t="s">
        <v>217</v>
      </c>
      <c r="Q51" s="1" t="s">
        <v>46</v>
      </c>
      <c r="R51" s="1" t="s">
        <v>46</v>
      </c>
      <c r="S51" s="1" t="s">
        <v>46</v>
      </c>
      <c r="T51" s="1" t="s">
        <v>103</v>
      </c>
      <c r="U51" s="1" t="s">
        <v>218</v>
      </c>
      <c r="V51" s="1" t="s">
        <v>46</v>
      </c>
      <c r="W51" s="1" t="s">
        <v>219</v>
      </c>
      <c r="X51" s="1" t="s">
        <v>220</v>
      </c>
      <c r="Y51" s="1" t="s">
        <v>46</v>
      </c>
      <c r="Z51" s="1" t="s">
        <v>46</v>
      </c>
      <c r="AA51" s="1" t="s">
        <v>46</v>
      </c>
      <c r="AB51" s="1" t="s">
        <v>46</v>
      </c>
      <c r="AC51" s="1" t="s">
        <v>46</v>
      </c>
      <c r="AD51" s="1" t="s">
        <v>46</v>
      </c>
      <c r="AE51" s="1" t="s">
        <v>221</v>
      </c>
      <c r="AF51" s="1" t="s">
        <v>51</v>
      </c>
      <c r="AG51" s="1" t="s">
        <v>46</v>
      </c>
      <c r="AH51" s="1" t="s">
        <v>46</v>
      </c>
      <c r="AI51" s="1" t="s">
        <v>46</v>
      </c>
      <c r="AJ51" s="1" t="s">
        <v>46</v>
      </c>
      <c r="AK51" s="3" t="s">
        <v>52</v>
      </c>
    </row>
    <row r="52" customHeight="1" spans="3:37">
      <c r="C52" s="1" t="s">
        <v>93</v>
      </c>
      <c r="D52" s="24">
        <v>45774</v>
      </c>
      <c r="I52" s="2">
        <v>173250</v>
      </c>
      <c r="K52" s="1" t="s">
        <v>44</v>
      </c>
      <c r="T52" s="32" t="s">
        <v>47</v>
      </c>
      <c r="AK52" s="3" t="s">
        <v>52</v>
      </c>
    </row>
    <row r="53" customHeight="1" spans="1:37">
      <c r="A53" s="1" t="s">
        <v>38</v>
      </c>
      <c r="B53" s="1" t="s">
        <v>39</v>
      </c>
      <c r="C53" s="1" t="s">
        <v>40</v>
      </c>
      <c r="D53" s="24" t="s">
        <v>222</v>
      </c>
      <c r="E53" s="1" t="s">
        <v>223</v>
      </c>
      <c r="F53" s="1" t="s">
        <v>222</v>
      </c>
      <c r="G53" s="1" t="s">
        <v>86</v>
      </c>
      <c r="I53" s="2">
        <v>4800</v>
      </c>
      <c r="J53" s="1">
        <v>2790443.2</v>
      </c>
      <c r="K53" s="1" t="s">
        <v>44</v>
      </c>
      <c r="L53" s="1" t="s">
        <v>224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 t="s">
        <v>46</v>
      </c>
      <c r="T53" s="1" t="s">
        <v>99</v>
      </c>
      <c r="U53" s="1" t="s">
        <v>205</v>
      </c>
      <c r="V53" s="1" t="s">
        <v>46</v>
      </c>
      <c r="W53" s="1" t="s">
        <v>206</v>
      </c>
      <c r="X53" s="1" t="s">
        <v>46</v>
      </c>
      <c r="Y53" s="1" t="s">
        <v>46</v>
      </c>
      <c r="Z53" s="1" t="s">
        <v>46</v>
      </c>
      <c r="AA53" s="1" t="s">
        <v>46</v>
      </c>
      <c r="AB53" s="1" t="s">
        <v>46</v>
      </c>
      <c r="AC53" s="1" t="s">
        <v>46</v>
      </c>
      <c r="AD53" s="1" t="s">
        <v>46</v>
      </c>
      <c r="AE53" s="1" t="s">
        <v>225</v>
      </c>
      <c r="AF53" s="1" t="s">
        <v>92</v>
      </c>
      <c r="AG53" s="1" t="s">
        <v>46</v>
      </c>
      <c r="AH53" s="1" t="s">
        <v>46</v>
      </c>
      <c r="AI53" s="1" t="s">
        <v>46</v>
      </c>
      <c r="AJ53" s="1" t="s">
        <v>46</v>
      </c>
      <c r="AK53" s="3" t="s">
        <v>52</v>
      </c>
    </row>
    <row r="54" customHeight="1" spans="3:37">
      <c r="C54" s="1" t="s">
        <v>93</v>
      </c>
      <c r="D54" s="24">
        <v>45792</v>
      </c>
      <c r="I54" s="2">
        <v>6000</v>
      </c>
      <c r="K54" s="1" t="s">
        <v>44</v>
      </c>
      <c r="T54" s="1" t="s">
        <v>100</v>
      </c>
      <c r="AK54" s="3" t="s">
        <v>52</v>
      </c>
    </row>
    <row r="55" customHeight="1" spans="1:37">
      <c r="A55" s="1" t="s">
        <v>38</v>
      </c>
      <c r="B55" s="1" t="s">
        <v>39</v>
      </c>
      <c r="C55" s="1" t="s">
        <v>40</v>
      </c>
      <c r="D55" s="24" t="s">
        <v>226</v>
      </c>
      <c r="E55" s="1" t="s">
        <v>227</v>
      </c>
      <c r="F55" s="1" t="s">
        <v>226</v>
      </c>
      <c r="G55" s="1" t="s">
        <v>43</v>
      </c>
      <c r="I55" s="2">
        <v>5000</v>
      </c>
      <c r="J55" s="1">
        <v>1699373.97</v>
      </c>
      <c r="K55" s="1" t="s">
        <v>228</v>
      </c>
      <c r="L55" s="1" t="s">
        <v>229</v>
      </c>
      <c r="M55" s="1" t="s">
        <v>230</v>
      </c>
      <c r="N55" s="1" t="s">
        <v>57</v>
      </c>
      <c r="O55" s="1" t="s">
        <v>46</v>
      </c>
      <c r="P55" s="1" t="s">
        <v>231</v>
      </c>
      <c r="Q55" s="1" t="s">
        <v>46</v>
      </c>
      <c r="R55" s="1" t="s">
        <v>46</v>
      </c>
      <c r="S55" s="1" t="s">
        <v>46</v>
      </c>
      <c r="T55" s="1" t="s">
        <v>103</v>
      </c>
      <c r="U55" s="1" t="s">
        <v>218</v>
      </c>
      <c r="V55" s="1" t="s">
        <v>46</v>
      </c>
      <c r="W55" s="1" t="s">
        <v>219</v>
      </c>
      <c r="X55" s="1" t="s">
        <v>220</v>
      </c>
      <c r="Y55" s="1" t="s">
        <v>46</v>
      </c>
      <c r="Z55" s="1" t="s">
        <v>46</v>
      </c>
      <c r="AA55" s="1" t="s">
        <v>46</v>
      </c>
      <c r="AB55" s="1" t="s">
        <v>46</v>
      </c>
      <c r="AC55" s="1" t="s">
        <v>46</v>
      </c>
      <c r="AD55" s="1" t="s">
        <v>46</v>
      </c>
      <c r="AE55" s="1" t="s">
        <v>232</v>
      </c>
      <c r="AF55" s="1" t="s">
        <v>51</v>
      </c>
      <c r="AG55" s="1" t="s">
        <v>46</v>
      </c>
      <c r="AH55" s="1" t="s">
        <v>46</v>
      </c>
      <c r="AI55" s="1" t="s">
        <v>46</v>
      </c>
      <c r="AJ55" s="1" t="s">
        <v>46</v>
      </c>
      <c r="AK55" s="3" t="s">
        <v>52</v>
      </c>
    </row>
    <row r="56" customHeight="1" spans="3:20">
      <c r="C56" s="1" t="s">
        <v>93</v>
      </c>
      <c r="D56" s="24">
        <v>45804</v>
      </c>
      <c r="I56" s="2">
        <v>6000</v>
      </c>
      <c r="T56" s="1" t="s">
        <v>100</v>
      </c>
    </row>
    <row r="57" customHeight="1" spans="3:37">
      <c r="C57" s="1" t="s">
        <v>93</v>
      </c>
      <c r="D57" s="24">
        <v>45805</v>
      </c>
      <c r="I57" s="2">
        <v>878000</v>
      </c>
      <c r="T57" s="1" t="s">
        <v>47</v>
      </c>
      <c r="AK57" s="3" t="s">
        <v>52</v>
      </c>
    </row>
    <row r="58" customHeight="1" spans="3:37">
      <c r="C58" s="1" t="s">
        <v>93</v>
      </c>
      <c r="D58" s="24">
        <v>45818</v>
      </c>
      <c r="I58" s="2">
        <v>10200</v>
      </c>
      <c r="K58" s="1" t="s">
        <v>44</v>
      </c>
      <c r="T58" s="1" t="s">
        <v>95</v>
      </c>
      <c r="AK58" s="3" t="s">
        <v>52</v>
      </c>
    </row>
    <row r="59" customHeight="1" spans="3:20">
      <c r="C59" s="1" t="s">
        <v>93</v>
      </c>
      <c r="D59" s="24">
        <v>45832</v>
      </c>
      <c r="I59" s="2">
        <v>8500</v>
      </c>
      <c r="K59" s="1" t="s">
        <v>44</v>
      </c>
      <c r="T59" s="1" t="s">
        <v>95</v>
      </c>
    </row>
    <row r="60" customFormat="1" customHeight="1" spans="1:41">
      <c r="A60" s="35" t="s">
        <v>38</v>
      </c>
      <c r="B60" s="1" t="s">
        <v>39</v>
      </c>
      <c r="C60" s="1" t="s">
        <v>40</v>
      </c>
      <c r="D60" s="24">
        <v>45827</v>
      </c>
      <c r="E60" s="1" t="s">
        <v>233</v>
      </c>
      <c r="F60" s="1" t="s">
        <v>234</v>
      </c>
      <c r="G60" s="1" t="s">
        <v>43</v>
      </c>
      <c r="H60" s="1"/>
      <c r="I60" s="2">
        <v>3000</v>
      </c>
      <c r="J60" s="1">
        <v>1072587.73</v>
      </c>
      <c r="K60" s="1" t="s">
        <v>235</v>
      </c>
      <c r="L60" s="1" t="s">
        <v>236</v>
      </c>
      <c r="M60" s="1" t="s">
        <v>237</v>
      </c>
      <c r="N60" s="1" t="s">
        <v>57</v>
      </c>
      <c r="O60" s="1" t="s">
        <v>46</v>
      </c>
      <c r="P60" s="1" t="s">
        <v>238</v>
      </c>
      <c r="Q60" s="1" t="s">
        <v>46</v>
      </c>
      <c r="R60" s="1" t="s">
        <v>46</v>
      </c>
      <c r="S60" s="1" t="s">
        <v>46</v>
      </c>
      <c r="T60" s="1" t="s">
        <v>103</v>
      </c>
      <c r="U60" s="1" t="s">
        <v>218</v>
      </c>
      <c r="V60" s="1" t="s">
        <v>46</v>
      </c>
      <c r="W60" s="1" t="s">
        <v>219</v>
      </c>
      <c r="X60" s="1" t="s">
        <v>220</v>
      </c>
      <c r="Y60" s="1" t="s">
        <v>46</v>
      </c>
      <c r="Z60" s="1" t="s">
        <v>46</v>
      </c>
      <c r="AA60" s="1" t="s">
        <v>46</v>
      </c>
      <c r="AB60" s="1" t="s">
        <v>46</v>
      </c>
      <c r="AC60" s="1" t="s">
        <v>46</v>
      </c>
      <c r="AD60" s="1" t="s">
        <v>46</v>
      </c>
      <c r="AE60" s="1" t="s">
        <v>239</v>
      </c>
      <c r="AF60" s="1" t="s">
        <v>51</v>
      </c>
      <c r="AG60" s="1" t="s">
        <v>46</v>
      </c>
      <c r="AH60" s="1" t="s">
        <v>46</v>
      </c>
      <c r="AI60" s="1" t="s">
        <v>46</v>
      </c>
      <c r="AJ60" s="1" t="s">
        <v>46</v>
      </c>
      <c r="AL60" s="17"/>
      <c r="AN60" s="20"/>
      <c r="AO60" s="21"/>
    </row>
    <row r="61" customHeight="1" spans="1:36">
      <c r="A61" s="1" t="s">
        <v>38</v>
      </c>
      <c r="B61" s="1" t="s">
        <v>39</v>
      </c>
      <c r="C61" s="1" t="s">
        <v>40</v>
      </c>
      <c r="D61" s="3" t="s">
        <v>240</v>
      </c>
      <c r="E61" s="1" t="s">
        <v>241</v>
      </c>
      <c r="F61" s="1" t="s">
        <v>240</v>
      </c>
      <c r="G61" s="1" t="s">
        <v>43</v>
      </c>
      <c r="I61" s="2">
        <v>708750</v>
      </c>
      <c r="J61" s="1">
        <v>1781926.27</v>
      </c>
      <c r="K61" s="1" t="s">
        <v>44</v>
      </c>
      <c r="L61" s="1" t="s">
        <v>242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 t="s">
        <v>46</v>
      </c>
      <c r="T61" s="1" t="s">
        <v>47</v>
      </c>
      <c r="U61" s="1" t="s">
        <v>48</v>
      </c>
      <c r="V61" s="1" t="s">
        <v>46</v>
      </c>
      <c r="W61" s="1" t="s">
        <v>49</v>
      </c>
      <c r="X61" s="1" t="s">
        <v>46</v>
      </c>
      <c r="Y61" s="1" t="s">
        <v>46</v>
      </c>
      <c r="Z61" s="1" t="s">
        <v>46</v>
      </c>
      <c r="AA61" s="1" t="s">
        <v>46</v>
      </c>
      <c r="AB61" s="1" t="s">
        <v>46</v>
      </c>
      <c r="AC61" s="1" t="s">
        <v>46</v>
      </c>
      <c r="AD61" s="1" t="s">
        <v>46</v>
      </c>
      <c r="AE61" s="1" t="s">
        <v>243</v>
      </c>
      <c r="AF61" s="1" t="s">
        <v>51</v>
      </c>
      <c r="AG61" s="1" t="s">
        <v>46</v>
      </c>
      <c r="AH61" s="1" t="s">
        <v>46</v>
      </c>
      <c r="AI61" s="1" t="s">
        <v>46</v>
      </c>
      <c r="AJ61" s="1" t="s">
        <v>46</v>
      </c>
    </row>
    <row r="62" customHeight="1" spans="1:36">
      <c r="A62" s="1" t="s">
        <v>38</v>
      </c>
      <c r="B62" s="1" t="s">
        <v>39</v>
      </c>
      <c r="C62" s="1" t="s">
        <v>40</v>
      </c>
      <c r="D62" s="3" t="s">
        <v>244</v>
      </c>
      <c r="E62" s="1" t="s">
        <v>245</v>
      </c>
      <c r="F62" s="1" t="s">
        <v>244</v>
      </c>
      <c r="G62" s="1" t="s">
        <v>86</v>
      </c>
      <c r="I62" s="2">
        <v>7000</v>
      </c>
      <c r="J62" s="1">
        <v>1788926.27</v>
      </c>
      <c r="K62" s="1" t="s">
        <v>44</v>
      </c>
      <c r="L62" s="1" t="s">
        <v>246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 t="s">
        <v>46</v>
      </c>
      <c r="T62" s="1" t="s">
        <v>117</v>
      </c>
      <c r="U62" s="1" t="s">
        <v>247</v>
      </c>
      <c r="V62" s="1" t="s">
        <v>46</v>
      </c>
      <c r="W62" s="1" t="s">
        <v>248</v>
      </c>
      <c r="X62" s="1" t="s">
        <v>46</v>
      </c>
      <c r="Y62" s="1" t="s">
        <v>46</v>
      </c>
      <c r="Z62" s="1" t="s">
        <v>46</v>
      </c>
      <c r="AA62" s="1" t="s">
        <v>46</v>
      </c>
      <c r="AB62" s="1" t="s">
        <v>46</v>
      </c>
      <c r="AC62" s="1" t="s">
        <v>46</v>
      </c>
      <c r="AD62" s="1" t="s">
        <v>46</v>
      </c>
      <c r="AE62" s="1" t="s">
        <v>249</v>
      </c>
      <c r="AF62" s="1" t="s">
        <v>92</v>
      </c>
      <c r="AG62" s="1" t="s">
        <v>46</v>
      </c>
      <c r="AH62" s="1" t="s">
        <v>46</v>
      </c>
      <c r="AI62" s="1" t="s">
        <v>46</v>
      </c>
      <c r="AJ62" s="1" t="s">
        <v>46</v>
      </c>
    </row>
    <row r="65" customHeight="1" spans="3:9">
      <c r="C65" s="11" t="s">
        <v>250</v>
      </c>
      <c r="D65" s="11"/>
      <c r="E65" s="12"/>
      <c r="F65" s="12"/>
      <c r="G65" s="12"/>
      <c r="H65" s="12"/>
      <c r="I65" s="15">
        <f>SUBTOTAL(9,I2:I64)</f>
        <v>6830110.08</v>
      </c>
    </row>
  </sheetData>
  <mergeCells count="1">
    <mergeCell ref="C65:D65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2"/>
  <sheetViews>
    <sheetView zoomScale="102" zoomScaleNormal="102" workbookViewId="0">
      <pane ySplit="1" topLeftCell="A16" activePane="bottomLeft" state="frozen"/>
      <selection/>
      <selection pane="bottomLeft" activeCell="I2" sqref="I2:I31"/>
    </sheetView>
  </sheetViews>
  <sheetFormatPr defaultColWidth="10.2857142857143" defaultRowHeight="18" customHeight="1"/>
  <cols>
    <col min="1" max="2" width="18" style="1" hidden="1" customWidth="1"/>
    <col min="3" max="3" width="16.2380952380952" style="1" customWidth="1"/>
    <col min="4" max="4" width="18" style="1" customWidth="1"/>
    <col min="5" max="8" width="18" style="1" hidden="1" customWidth="1"/>
    <col min="9" max="9" width="18" style="2" customWidth="1"/>
    <col min="10" max="10" width="18" style="1" hidden="1" customWidth="1"/>
    <col min="11" max="11" width="14.4285714285714" style="1" customWidth="1"/>
    <col min="12" max="19" width="18" style="1" hidden="1" customWidth="1"/>
    <col min="20" max="20" width="36.4190476190476" style="1" customWidth="1"/>
    <col min="21" max="36" width="18" style="1" hidden="1" customWidth="1"/>
    <col min="37" max="37" width="14" style="3" customWidth="1"/>
    <col min="38" max="38" width="12.6" style="1" customWidth="1"/>
    <col min="39" max="39" width="10.2857142857143" style="1"/>
    <col min="40" max="40" width="36.5714285714286" style="20"/>
    <col min="41" max="41" width="16.8571428571429" style="21"/>
    <col min="42" max="42" width="12.8571428571429" style="22"/>
    <col min="43" max="16384" width="10.2857142857143" style="1"/>
  </cols>
  <sheetData>
    <row r="1" ht="26" customHeight="1" spans="1:38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3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8" t="s">
        <v>36</v>
      </c>
      <c r="AL1" s="18" t="s">
        <v>37</v>
      </c>
    </row>
    <row r="2" ht="19" customHeight="1" spans="3:42">
      <c r="C2" s="1" t="s">
        <v>93</v>
      </c>
      <c r="D2" s="9">
        <v>45675</v>
      </c>
      <c r="I2" s="2">
        <v>10200</v>
      </c>
      <c r="K2" s="1" t="s">
        <v>44</v>
      </c>
      <c r="T2" s="1" t="s">
        <v>95</v>
      </c>
      <c r="AK2" s="3" t="s">
        <v>52</v>
      </c>
      <c r="AN2" s="27" t="s">
        <v>19</v>
      </c>
      <c r="AO2" s="27" t="s">
        <v>71</v>
      </c>
      <c r="AP2" s="29"/>
    </row>
    <row r="3" customHeight="1" spans="3:42">
      <c r="C3" s="1" t="s">
        <v>93</v>
      </c>
      <c r="D3" s="9">
        <v>45695</v>
      </c>
      <c r="I3" s="2">
        <v>10200</v>
      </c>
      <c r="K3" s="1" t="s">
        <v>44</v>
      </c>
      <c r="T3" s="1" t="s">
        <v>95</v>
      </c>
      <c r="AK3" s="3" t="s">
        <v>52</v>
      </c>
      <c r="AN3" s="27" t="s">
        <v>47</v>
      </c>
      <c r="AO3" s="30">
        <v>2934000</v>
      </c>
      <c r="AP3" s="29">
        <f>GETPIVOTDATA("收款金额",$AN$2,"付方名称","上海瑞桥深息医疗科技有限公司")/GETPIVOTDATA("收款金额",AN$2)</f>
        <v>0.755659721327942</v>
      </c>
    </row>
    <row r="4" s="1" customFormat="1" customHeight="1" spans="3:42">
      <c r="C4" s="1" t="s">
        <v>93</v>
      </c>
      <c r="D4" s="9">
        <v>45672</v>
      </c>
      <c r="I4" s="2">
        <v>6000</v>
      </c>
      <c r="K4" s="1" t="s">
        <v>44</v>
      </c>
      <c r="T4" s="1" t="s">
        <v>100</v>
      </c>
      <c r="AK4" s="3" t="s">
        <v>52</v>
      </c>
      <c r="AN4" s="27" t="s">
        <v>83</v>
      </c>
      <c r="AO4" s="30">
        <v>800000</v>
      </c>
      <c r="AP4" s="29">
        <f>GETPIVOTDATA("收款金额",$AN$2,"付方名称","合肥迈缔科医疗设备有限公司")/GETPIVOTDATA("收款金额",$AN$2)</f>
        <v>0.206042187137816</v>
      </c>
    </row>
    <row r="5" customHeight="1" spans="1:42">
      <c r="A5" s="1" t="s">
        <v>38</v>
      </c>
      <c r="B5" s="1" t="s">
        <v>39</v>
      </c>
      <c r="C5" s="1" t="s">
        <v>40</v>
      </c>
      <c r="D5" s="1" t="s">
        <v>129</v>
      </c>
      <c r="E5" s="1" t="s">
        <v>130</v>
      </c>
      <c r="F5" s="1" t="s">
        <v>129</v>
      </c>
      <c r="G5" s="1" t="s">
        <v>86</v>
      </c>
      <c r="I5" s="2">
        <v>5000</v>
      </c>
      <c r="J5" s="1">
        <v>8827986.65</v>
      </c>
      <c r="K5" s="1" t="s">
        <v>44</v>
      </c>
      <c r="L5" s="1" t="s">
        <v>131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97</v>
      </c>
      <c r="U5" s="1" t="s">
        <v>114</v>
      </c>
      <c r="V5" s="1" t="s">
        <v>46</v>
      </c>
      <c r="W5" s="1" t="s">
        <v>115</v>
      </c>
      <c r="X5" s="1" t="s">
        <v>46</v>
      </c>
      <c r="Y5" s="1" t="s">
        <v>46</v>
      </c>
      <c r="Z5" s="1" t="s">
        <v>46</v>
      </c>
      <c r="AA5" s="1" t="s">
        <v>46</v>
      </c>
      <c r="AB5" s="1" t="s">
        <v>46</v>
      </c>
      <c r="AC5" s="1" t="s">
        <v>46</v>
      </c>
      <c r="AD5" s="1" t="s">
        <v>46</v>
      </c>
      <c r="AE5" s="1" t="s">
        <v>132</v>
      </c>
      <c r="AF5" s="1" t="s">
        <v>92</v>
      </c>
      <c r="AG5" s="1" t="s">
        <v>46</v>
      </c>
      <c r="AH5" s="1" t="s">
        <v>46</v>
      </c>
      <c r="AI5" s="1" t="s">
        <v>46</v>
      </c>
      <c r="AJ5" s="1" t="s">
        <v>46</v>
      </c>
      <c r="AK5" s="3" t="s">
        <v>52</v>
      </c>
      <c r="AN5" s="27" t="s">
        <v>95</v>
      </c>
      <c r="AO5" s="30">
        <v>49300</v>
      </c>
      <c r="AP5" s="29"/>
    </row>
    <row r="6" customFormat="1" customHeight="1" spans="1:42">
      <c r="A6" s="1" t="s">
        <v>38</v>
      </c>
      <c r="B6" s="1" t="s">
        <v>39</v>
      </c>
      <c r="C6" s="1" t="s">
        <v>40</v>
      </c>
      <c r="D6" s="10" t="s">
        <v>134</v>
      </c>
      <c r="E6" s="1" t="s">
        <v>135</v>
      </c>
      <c r="F6" s="1" t="s">
        <v>134</v>
      </c>
      <c r="G6" s="1" t="s">
        <v>86</v>
      </c>
      <c r="H6" s="1"/>
      <c r="I6" s="2">
        <v>4200</v>
      </c>
      <c r="J6" s="1">
        <v>5867754.1</v>
      </c>
      <c r="K6" s="1" t="s">
        <v>136</v>
      </c>
      <c r="L6" s="1" t="s">
        <v>137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97</v>
      </c>
      <c r="U6" s="1" t="s">
        <v>138</v>
      </c>
      <c r="V6" s="1" t="s">
        <v>46</v>
      </c>
      <c r="W6" s="1" t="s">
        <v>139</v>
      </c>
      <c r="X6" s="1" t="s">
        <v>46</v>
      </c>
      <c r="Y6" s="1" t="s">
        <v>46</v>
      </c>
      <c r="Z6" s="1" t="s">
        <v>46</v>
      </c>
      <c r="AA6" s="1" t="s">
        <v>46</v>
      </c>
      <c r="AB6" s="1" t="s">
        <v>46</v>
      </c>
      <c r="AC6" s="1" t="s">
        <v>46</v>
      </c>
      <c r="AD6" s="1" t="s">
        <v>46</v>
      </c>
      <c r="AE6" s="1" t="s">
        <v>140</v>
      </c>
      <c r="AF6" s="1" t="s">
        <v>92</v>
      </c>
      <c r="AG6" s="1" t="s">
        <v>46</v>
      </c>
      <c r="AH6" s="1" t="s">
        <v>46</v>
      </c>
      <c r="AI6" s="1" t="s">
        <v>46</v>
      </c>
      <c r="AJ6" s="1" t="s">
        <v>46</v>
      </c>
      <c r="AK6" s="3" t="s">
        <v>52</v>
      </c>
      <c r="AL6" s="1"/>
      <c r="AN6" s="27" t="s">
        <v>97</v>
      </c>
      <c r="AO6" s="30">
        <v>24200</v>
      </c>
      <c r="AP6" s="29"/>
    </row>
    <row r="7" customHeight="1" spans="3:42">
      <c r="C7" s="1" t="s">
        <v>93</v>
      </c>
      <c r="D7" s="9">
        <v>45694</v>
      </c>
      <c r="I7" s="2">
        <v>4000</v>
      </c>
      <c r="K7" s="1" t="s">
        <v>44</v>
      </c>
      <c r="T7" s="1" t="s">
        <v>101</v>
      </c>
      <c r="AK7" s="3" t="s">
        <v>52</v>
      </c>
      <c r="AN7" s="27" t="s">
        <v>100</v>
      </c>
      <c r="AO7" s="30">
        <v>18000</v>
      </c>
      <c r="AP7" s="29"/>
    </row>
    <row r="8" customHeight="1" spans="1:42">
      <c r="A8" s="1" t="s">
        <v>38</v>
      </c>
      <c r="B8" s="1" t="s">
        <v>39</v>
      </c>
      <c r="C8" s="1" t="s">
        <v>40</v>
      </c>
      <c r="D8" s="10" t="s">
        <v>160</v>
      </c>
      <c r="E8" s="1" t="s">
        <v>161</v>
      </c>
      <c r="F8" s="1" t="s">
        <v>160</v>
      </c>
      <c r="G8" s="1" t="s">
        <v>86</v>
      </c>
      <c r="I8" s="2">
        <v>3000</v>
      </c>
      <c r="J8" s="1">
        <v>5847070.18</v>
      </c>
      <c r="K8" s="1" t="s">
        <v>136</v>
      </c>
      <c r="L8" s="1" t="s">
        <v>162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46</v>
      </c>
      <c r="T8" s="1" t="s">
        <v>97</v>
      </c>
      <c r="U8" s="1" t="s">
        <v>138</v>
      </c>
      <c r="V8" s="1" t="s">
        <v>46</v>
      </c>
      <c r="W8" s="1" t="s">
        <v>139</v>
      </c>
      <c r="X8" s="1" t="s">
        <v>46</v>
      </c>
      <c r="Y8" s="1" t="s">
        <v>46</v>
      </c>
      <c r="Z8" s="1" t="s">
        <v>46</v>
      </c>
      <c r="AA8" s="1" t="s">
        <v>46</v>
      </c>
      <c r="AB8" s="1" t="s">
        <v>46</v>
      </c>
      <c r="AC8" s="1" t="s">
        <v>46</v>
      </c>
      <c r="AD8" s="1" t="s">
        <v>46</v>
      </c>
      <c r="AE8" s="1" t="s">
        <v>163</v>
      </c>
      <c r="AF8" s="1" t="s">
        <v>92</v>
      </c>
      <c r="AG8" s="1" t="s">
        <v>46</v>
      </c>
      <c r="AH8" s="1" t="s">
        <v>46</v>
      </c>
      <c r="AI8" s="1" t="s">
        <v>46</v>
      </c>
      <c r="AJ8" s="1" t="s">
        <v>46</v>
      </c>
      <c r="AK8" s="3" t="s">
        <v>52</v>
      </c>
      <c r="AN8" s="27" t="s">
        <v>98</v>
      </c>
      <c r="AO8" s="30">
        <v>17000</v>
      </c>
      <c r="AP8" s="29"/>
    </row>
    <row r="9" customHeight="1" spans="3:42">
      <c r="C9" s="1" t="s">
        <v>93</v>
      </c>
      <c r="D9" s="9">
        <v>45701</v>
      </c>
      <c r="I9" s="2">
        <v>2400</v>
      </c>
      <c r="K9" s="1" t="s">
        <v>44</v>
      </c>
      <c r="T9" s="1" t="s">
        <v>99</v>
      </c>
      <c r="AK9" s="3" t="s">
        <v>52</v>
      </c>
      <c r="AN9" s="27" t="s">
        <v>99</v>
      </c>
      <c r="AO9" s="30">
        <v>13200</v>
      </c>
      <c r="AP9" s="29"/>
    </row>
    <row r="10" customHeight="1" spans="1:42">
      <c r="A10" s="1" t="s">
        <v>38</v>
      </c>
      <c r="B10" s="1" t="s">
        <v>39</v>
      </c>
      <c r="C10" s="1" t="s">
        <v>40</v>
      </c>
      <c r="D10" s="1" t="s">
        <v>174</v>
      </c>
      <c r="E10" s="1" t="s">
        <v>175</v>
      </c>
      <c r="F10" s="1" t="s">
        <v>174</v>
      </c>
      <c r="G10" s="1" t="s">
        <v>86</v>
      </c>
      <c r="I10" s="2">
        <v>2000</v>
      </c>
      <c r="J10" s="1">
        <v>6832743.96</v>
      </c>
      <c r="K10" s="1" t="s">
        <v>136</v>
      </c>
      <c r="L10" s="1" t="s">
        <v>176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46</v>
      </c>
      <c r="T10" s="1" t="s">
        <v>97</v>
      </c>
      <c r="U10" s="1" t="s">
        <v>138</v>
      </c>
      <c r="V10" s="1" t="s">
        <v>46</v>
      </c>
      <c r="W10" s="1" t="s">
        <v>139</v>
      </c>
      <c r="X10" s="1" t="s">
        <v>46</v>
      </c>
      <c r="Y10" s="1" t="s">
        <v>46</v>
      </c>
      <c r="Z10" s="1" t="s">
        <v>46</v>
      </c>
      <c r="AA10" s="1" t="s">
        <v>46</v>
      </c>
      <c r="AB10" s="1" t="s">
        <v>46</v>
      </c>
      <c r="AC10" s="1" t="s">
        <v>46</v>
      </c>
      <c r="AD10" s="1" t="s">
        <v>46</v>
      </c>
      <c r="AE10" s="1" t="s">
        <v>177</v>
      </c>
      <c r="AF10" s="1" t="s">
        <v>92</v>
      </c>
      <c r="AG10" s="1" t="s">
        <v>46</v>
      </c>
      <c r="AH10" s="1" t="s">
        <v>46</v>
      </c>
      <c r="AI10" s="1" t="s">
        <v>46</v>
      </c>
      <c r="AJ10" s="1" t="s">
        <v>46</v>
      </c>
      <c r="AK10" s="3" t="s">
        <v>52</v>
      </c>
      <c r="AN10" s="27" t="s">
        <v>103</v>
      </c>
      <c r="AO10" s="30">
        <v>13000</v>
      </c>
      <c r="AP10" s="29"/>
    </row>
    <row r="11" customHeight="1" spans="1:42">
      <c r="A11" s="1" t="s">
        <v>38</v>
      </c>
      <c r="B11" s="1" t="s">
        <v>39</v>
      </c>
      <c r="C11" s="1" t="s">
        <v>40</v>
      </c>
      <c r="D11" s="10" t="s">
        <v>178</v>
      </c>
      <c r="E11" s="1" t="s">
        <v>179</v>
      </c>
      <c r="F11" s="1" t="s">
        <v>178</v>
      </c>
      <c r="G11" s="1" t="s">
        <v>86</v>
      </c>
      <c r="I11" s="2">
        <v>2000</v>
      </c>
      <c r="J11" s="1">
        <v>5928870.73</v>
      </c>
      <c r="K11" s="1" t="s">
        <v>144</v>
      </c>
      <c r="L11" s="1" t="s">
        <v>180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46</v>
      </c>
      <c r="T11" s="17" t="s">
        <v>98</v>
      </c>
      <c r="U11" s="1" t="s">
        <v>146</v>
      </c>
      <c r="V11" s="1" t="s">
        <v>46</v>
      </c>
      <c r="W11" s="1" t="s">
        <v>147</v>
      </c>
      <c r="X11" s="1" t="s">
        <v>46</v>
      </c>
      <c r="Y11" s="1" t="s">
        <v>46</v>
      </c>
      <c r="Z11" s="1" t="s">
        <v>46</v>
      </c>
      <c r="AA11" s="1" t="s">
        <v>46</v>
      </c>
      <c r="AB11" s="1" t="s">
        <v>46</v>
      </c>
      <c r="AC11" s="1" t="s">
        <v>46</v>
      </c>
      <c r="AD11" s="1" t="s">
        <v>46</v>
      </c>
      <c r="AE11" s="1" t="s">
        <v>181</v>
      </c>
      <c r="AF11" s="1" t="s">
        <v>92</v>
      </c>
      <c r="AG11" s="1" t="s">
        <v>46</v>
      </c>
      <c r="AH11" s="1" t="s">
        <v>46</v>
      </c>
      <c r="AI11" s="1" t="s">
        <v>46</v>
      </c>
      <c r="AJ11" s="1" t="s">
        <v>46</v>
      </c>
      <c r="AK11" s="3" t="s">
        <v>52</v>
      </c>
      <c r="AN11" s="27" t="s">
        <v>117</v>
      </c>
      <c r="AO11" s="30">
        <v>7000</v>
      </c>
      <c r="AP11" s="29"/>
    </row>
    <row r="12" customHeight="1" spans="3:42">
      <c r="C12" s="1" t="s">
        <v>93</v>
      </c>
      <c r="D12" s="9">
        <v>45714</v>
      </c>
      <c r="I12" s="2">
        <v>592000</v>
      </c>
      <c r="K12" s="1" t="s">
        <v>44</v>
      </c>
      <c r="T12" s="1" t="s">
        <v>47</v>
      </c>
      <c r="AK12" s="3" t="s">
        <v>52</v>
      </c>
      <c r="AN12" s="27" t="s">
        <v>101</v>
      </c>
      <c r="AO12" s="30">
        <v>4000</v>
      </c>
      <c r="AP12" s="29"/>
    </row>
    <row r="13" customHeight="1" spans="3:42">
      <c r="C13" s="1" t="s">
        <v>93</v>
      </c>
      <c r="D13" s="9">
        <v>45714</v>
      </c>
      <c r="I13" s="2">
        <v>3000</v>
      </c>
      <c r="K13" s="1" t="s">
        <v>44</v>
      </c>
      <c r="T13" s="1" t="s">
        <v>122</v>
      </c>
      <c r="AK13" s="3" t="s">
        <v>52</v>
      </c>
      <c r="AN13" s="27" t="s">
        <v>122</v>
      </c>
      <c r="AO13" s="30">
        <v>3000</v>
      </c>
      <c r="AP13" s="29"/>
    </row>
    <row r="14" customHeight="1" spans="1:42">
      <c r="A14" s="1" t="s">
        <v>38</v>
      </c>
      <c r="B14" s="1" t="s">
        <v>39</v>
      </c>
      <c r="C14" s="1" t="s">
        <v>40</v>
      </c>
      <c r="D14" s="10" t="s">
        <v>186</v>
      </c>
      <c r="E14" s="1" t="s">
        <v>187</v>
      </c>
      <c r="F14" s="1" t="s">
        <v>186</v>
      </c>
      <c r="G14" s="1" t="s">
        <v>86</v>
      </c>
      <c r="I14" s="2">
        <v>15000</v>
      </c>
      <c r="J14" s="1">
        <v>4367847.77</v>
      </c>
      <c r="K14" s="1" t="s">
        <v>144</v>
      </c>
      <c r="L14" s="1" t="s">
        <v>188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46</v>
      </c>
      <c r="T14" s="1" t="s">
        <v>98</v>
      </c>
      <c r="U14" s="1" t="s">
        <v>146</v>
      </c>
      <c r="V14" s="1" t="s">
        <v>46</v>
      </c>
      <c r="W14" s="1" t="s">
        <v>147</v>
      </c>
      <c r="X14" s="1" t="s">
        <v>46</v>
      </c>
      <c r="Y14" s="1" t="s">
        <v>46</v>
      </c>
      <c r="Z14" s="1" t="s">
        <v>46</v>
      </c>
      <c r="AA14" s="1" t="s">
        <v>46</v>
      </c>
      <c r="AB14" s="1" t="s">
        <v>46</v>
      </c>
      <c r="AC14" s="1" t="s">
        <v>46</v>
      </c>
      <c r="AD14" s="1" t="s">
        <v>46</v>
      </c>
      <c r="AE14" s="1" t="s">
        <v>189</v>
      </c>
      <c r="AF14" s="1" t="s">
        <v>92</v>
      </c>
      <c r="AG14" s="1" t="s">
        <v>46</v>
      </c>
      <c r="AH14" s="1" t="s">
        <v>46</v>
      </c>
      <c r="AI14" s="1" t="s">
        <v>46</v>
      </c>
      <c r="AJ14" s="1" t="s">
        <v>46</v>
      </c>
      <c r="AK14" s="3" t="s">
        <v>52</v>
      </c>
      <c r="AL14" s="19"/>
      <c r="AN14" s="27" t="s">
        <v>153</v>
      </c>
      <c r="AO14" s="30">
        <v>3882700</v>
      </c>
      <c r="AP14" s="29"/>
    </row>
    <row r="15" customFormat="1" ht="20" customHeight="1" spans="1:42">
      <c r="A15" t="s">
        <v>38</v>
      </c>
      <c r="B15" t="s">
        <v>39</v>
      </c>
      <c r="C15" s="1" t="s">
        <v>40</v>
      </c>
      <c r="D15" s="10" t="s">
        <v>190</v>
      </c>
      <c r="E15" s="1" t="s">
        <v>191</v>
      </c>
      <c r="F15" s="1" t="s">
        <v>190</v>
      </c>
      <c r="G15" s="1" t="s">
        <v>43</v>
      </c>
      <c r="H15" s="1"/>
      <c r="I15" s="2">
        <v>800000</v>
      </c>
      <c r="J15" s="1">
        <v>4369623.74</v>
      </c>
      <c r="K15" s="19" t="s">
        <v>192</v>
      </c>
      <c r="L15" s="1" t="s">
        <v>193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83</v>
      </c>
      <c r="U15" t="s">
        <v>194</v>
      </c>
      <c r="V15" t="s">
        <v>46</v>
      </c>
      <c r="W15" t="s">
        <v>195</v>
      </c>
      <c r="X15" t="s">
        <v>46</v>
      </c>
      <c r="Y15" t="s">
        <v>46</v>
      </c>
      <c r="Z15" t="s">
        <v>46</v>
      </c>
      <c r="AA15" t="s">
        <v>46</v>
      </c>
      <c r="AB15" t="s">
        <v>46</v>
      </c>
      <c r="AC15" t="s">
        <v>46</v>
      </c>
      <c r="AD15" t="s">
        <v>46</v>
      </c>
      <c r="AE15" t="s">
        <v>196</v>
      </c>
      <c r="AF15" t="s">
        <v>51</v>
      </c>
      <c r="AG15" t="s">
        <v>46</v>
      </c>
      <c r="AH15" t="s">
        <v>46</v>
      </c>
      <c r="AI15" t="s">
        <v>46</v>
      </c>
      <c r="AJ15" t="s">
        <v>46</v>
      </c>
      <c r="AK15" s="3" t="s">
        <v>52</v>
      </c>
      <c r="AL15" s="33" t="s">
        <v>197</v>
      </c>
      <c r="AP15" s="29"/>
    </row>
    <row r="16" customFormat="1" ht="20" customHeight="1" spans="1:42">
      <c r="A16" t="s">
        <v>38</v>
      </c>
      <c r="B16" t="s">
        <v>39</v>
      </c>
      <c r="C16" s="1" t="s">
        <v>40</v>
      </c>
      <c r="D16" s="10" t="s">
        <v>198</v>
      </c>
      <c r="E16" s="1" t="s">
        <v>199</v>
      </c>
      <c r="F16" s="1" t="s">
        <v>198</v>
      </c>
      <c r="G16" s="1" t="s">
        <v>43</v>
      </c>
      <c r="H16" s="1"/>
      <c r="I16" s="2">
        <v>582000</v>
      </c>
      <c r="J16" s="1">
        <v>4843043.99</v>
      </c>
      <c r="K16" s="1" t="s">
        <v>44</v>
      </c>
      <c r="L16" s="1" t="s">
        <v>200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46</v>
      </c>
      <c r="T16" s="1" t="s">
        <v>47</v>
      </c>
      <c r="U16" t="s">
        <v>48</v>
      </c>
      <c r="V16" t="s">
        <v>46</v>
      </c>
      <c r="W16" t="s">
        <v>49</v>
      </c>
      <c r="X16" t="s">
        <v>46</v>
      </c>
      <c r="Y16" t="s">
        <v>46</v>
      </c>
      <c r="Z16" t="s">
        <v>46</v>
      </c>
      <c r="AA16" t="s">
        <v>46</v>
      </c>
      <c r="AB16" t="s">
        <v>46</v>
      </c>
      <c r="AC16" t="s">
        <v>46</v>
      </c>
      <c r="AD16" t="s">
        <v>46</v>
      </c>
      <c r="AE16" t="s">
        <v>201</v>
      </c>
      <c r="AF16" t="s">
        <v>51</v>
      </c>
      <c r="AG16" t="s">
        <v>46</v>
      </c>
      <c r="AH16" t="s">
        <v>46</v>
      </c>
      <c r="AI16" t="s">
        <v>46</v>
      </c>
      <c r="AJ16" t="s">
        <v>46</v>
      </c>
      <c r="AK16" s="3" t="s">
        <v>52</v>
      </c>
      <c r="AN16" s="27"/>
      <c r="AO16" s="30"/>
      <c r="AP16" s="29"/>
    </row>
    <row r="17" customFormat="1" ht="20" customHeight="1" spans="1:42">
      <c r="A17" t="s">
        <v>38</v>
      </c>
      <c r="B17" t="s">
        <v>39</v>
      </c>
      <c r="C17" s="1" t="s">
        <v>40</v>
      </c>
      <c r="D17" s="10" t="s">
        <v>202</v>
      </c>
      <c r="E17" s="1" t="s">
        <v>203</v>
      </c>
      <c r="F17" s="1" t="s">
        <v>202</v>
      </c>
      <c r="G17" s="1" t="s">
        <v>86</v>
      </c>
      <c r="H17" s="1"/>
      <c r="I17" s="2">
        <v>6000</v>
      </c>
      <c r="J17" s="1">
        <v>3038312.87</v>
      </c>
      <c r="K17" s="1" t="s">
        <v>44</v>
      </c>
      <c r="L17" s="1" t="s">
        <v>204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99</v>
      </c>
      <c r="U17" t="s">
        <v>205</v>
      </c>
      <c r="V17" t="s">
        <v>46</v>
      </c>
      <c r="W17" t="s">
        <v>206</v>
      </c>
      <c r="X17" t="s">
        <v>46</v>
      </c>
      <c r="Y17" t="s">
        <v>46</v>
      </c>
      <c r="Z17" t="s">
        <v>46</v>
      </c>
      <c r="AA17" t="s">
        <v>46</v>
      </c>
      <c r="AB17" t="s">
        <v>46</v>
      </c>
      <c r="AC17" t="s">
        <v>46</v>
      </c>
      <c r="AD17" t="s">
        <v>46</v>
      </c>
      <c r="AE17" t="s">
        <v>207</v>
      </c>
      <c r="AF17" t="s">
        <v>92</v>
      </c>
      <c r="AG17" t="s">
        <v>46</v>
      </c>
      <c r="AH17" t="s">
        <v>46</v>
      </c>
      <c r="AI17" t="s">
        <v>46</v>
      </c>
      <c r="AJ17" t="s">
        <v>46</v>
      </c>
      <c r="AK17" s="3" t="s">
        <v>52</v>
      </c>
      <c r="AN17" s="27"/>
      <c r="AO17" s="30"/>
      <c r="AP17" s="29"/>
    </row>
    <row r="18" customHeight="1" spans="3:42">
      <c r="C18" s="1" t="s">
        <v>93</v>
      </c>
      <c r="D18" s="9">
        <v>45765</v>
      </c>
      <c r="I18" s="2">
        <v>10200</v>
      </c>
      <c r="K18" s="1" t="s">
        <v>44</v>
      </c>
      <c r="T18" s="1" t="s">
        <v>95</v>
      </c>
      <c r="AK18" s="3" t="s">
        <v>52</v>
      </c>
      <c r="AN18" s="27"/>
      <c r="AO18" s="30"/>
      <c r="AP18" s="29"/>
    </row>
    <row r="19" customHeight="1" spans="1:42">
      <c r="A19" s="1" t="s">
        <v>38</v>
      </c>
      <c r="B19" s="1" t="s">
        <v>39</v>
      </c>
      <c r="C19" s="1" t="s">
        <v>40</v>
      </c>
      <c r="D19" s="10" t="s">
        <v>208</v>
      </c>
      <c r="E19" s="1" t="s">
        <v>209</v>
      </c>
      <c r="F19" s="1" t="s">
        <v>208</v>
      </c>
      <c r="G19" s="1" t="s">
        <v>86</v>
      </c>
      <c r="I19" s="2">
        <v>10000</v>
      </c>
      <c r="J19" s="1">
        <v>3048312.87</v>
      </c>
      <c r="K19" s="1" t="s">
        <v>136</v>
      </c>
      <c r="L19" s="1" t="s">
        <v>210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97</v>
      </c>
      <c r="U19" s="1" t="s">
        <v>138</v>
      </c>
      <c r="V19" s="1" t="s">
        <v>46</v>
      </c>
      <c r="W19" s="1" t="s">
        <v>139</v>
      </c>
      <c r="X19" s="1" t="s">
        <v>46</v>
      </c>
      <c r="Y19" s="1" t="s">
        <v>46</v>
      </c>
      <c r="Z19" s="1" t="s">
        <v>46</v>
      </c>
      <c r="AA19" s="1" t="s">
        <v>46</v>
      </c>
      <c r="AB19" s="1" t="s">
        <v>46</v>
      </c>
      <c r="AC19" s="1" t="s">
        <v>46</v>
      </c>
      <c r="AD19" s="1" t="s">
        <v>46</v>
      </c>
      <c r="AE19" s="1" t="s">
        <v>211</v>
      </c>
      <c r="AF19" s="1" t="s">
        <v>92</v>
      </c>
      <c r="AG19" s="1" t="s">
        <v>46</v>
      </c>
      <c r="AH19" s="1" t="s">
        <v>46</v>
      </c>
      <c r="AI19" s="1" t="s">
        <v>46</v>
      </c>
      <c r="AJ19" s="1" t="s">
        <v>46</v>
      </c>
      <c r="AK19" s="3" t="s">
        <v>52</v>
      </c>
      <c r="AN19" s="27"/>
      <c r="AO19" s="30"/>
      <c r="AP19" s="29"/>
    </row>
    <row r="20" customHeight="1" spans="1:37">
      <c r="A20" s="1" t="s">
        <v>38</v>
      </c>
      <c r="B20" s="1" t="s">
        <v>39</v>
      </c>
      <c r="C20" s="1" t="s">
        <v>40</v>
      </c>
      <c r="D20" s="10" t="s">
        <v>212</v>
      </c>
      <c r="E20" s="1" t="s">
        <v>213</v>
      </c>
      <c r="F20" s="1" t="s">
        <v>212</v>
      </c>
      <c r="G20" s="1" t="s">
        <v>43</v>
      </c>
      <c r="I20" s="2">
        <v>5000</v>
      </c>
      <c r="J20" s="1">
        <v>2892643.2</v>
      </c>
      <c r="K20" s="1" t="s">
        <v>214</v>
      </c>
      <c r="L20" s="1" t="s">
        <v>215</v>
      </c>
      <c r="M20" s="1" t="s">
        <v>216</v>
      </c>
      <c r="N20" s="1" t="s">
        <v>57</v>
      </c>
      <c r="O20" s="1" t="s">
        <v>46</v>
      </c>
      <c r="P20" s="1" t="s">
        <v>217</v>
      </c>
      <c r="Q20" s="1" t="s">
        <v>46</v>
      </c>
      <c r="R20" s="1" t="s">
        <v>46</v>
      </c>
      <c r="S20" s="1" t="s">
        <v>46</v>
      </c>
      <c r="T20" s="1" t="s">
        <v>103</v>
      </c>
      <c r="U20" s="1" t="s">
        <v>218</v>
      </c>
      <c r="V20" s="1" t="s">
        <v>46</v>
      </c>
      <c r="W20" s="1" t="s">
        <v>219</v>
      </c>
      <c r="X20" s="1" t="s">
        <v>220</v>
      </c>
      <c r="Y20" s="1" t="s">
        <v>46</v>
      </c>
      <c r="Z20" s="1" t="s">
        <v>46</v>
      </c>
      <c r="AA20" s="1" t="s">
        <v>46</v>
      </c>
      <c r="AB20" s="1" t="s">
        <v>46</v>
      </c>
      <c r="AC20" s="1" t="s">
        <v>46</v>
      </c>
      <c r="AD20" s="1" t="s">
        <v>46</v>
      </c>
      <c r="AE20" s="1" t="s">
        <v>221</v>
      </c>
      <c r="AF20" s="1" t="s">
        <v>51</v>
      </c>
      <c r="AG20" s="1" t="s">
        <v>46</v>
      </c>
      <c r="AH20" s="1" t="s">
        <v>46</v>
      </c>
      <c r="AI20" s="1" t="s">
        <v>46</v>
      </c>
      <c r="AJ20" s="1" t="s">
        <v>46</v>
      </c>
      <c r="AK20" s="3" t="s">
        <v>52</v>
      </c>
    </row>
    <row r="21" customHeight="1" spans="3:37">
      <c r="C21" s="1" t="s">
        <v>93</v>
      </c>
      <c r="D21" s="10">
        <v>45774</v>
      </c>
      <c r="I21" s="2">
        <v>173250</v>
      </c>
      <c r="K21" s="1" t="s">
        <v>44</v>
      </c>
      <c r="T21" s="32" t="s">
        <v>47</v>
      </c>
      <c r="AK21" s="3" t="s">
        <v>52</v>
      </c>
    </row>
    <row r="22" customHeight="1" spans="1:37">
      <c r="A22" s="1" t="s">
        <v>38</v>
      </c>
      <c r="B22" s="1" t="s">
        <v>39</v>
      </c>
      <c r="C22" s="1" t="s">
        <v>40</v>
      </c>
      <c r="D22" s="10" t="s">
        <v>222</v>
      </c>
      <c r="E22" s="1" t="s">
        <v>223</v>
      </c>
      <c r="F22" s="1" t="s">
        <v>222</v>
      </c>
      <c r="G22" s="1" t="s">
        <v>86</v>
      </c>
      <c r="I22" s="2">
        <v>4800</v>
      </c>
      <c r="J22" s="1">
        <v>2790443.2</v>
      </c>
      <c r="K22" s="1" t="s">
        <v>44</v>
      </c>
      <c r="L22" s="1" t="s">
        <v>224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99</v>
      </c>
      <c r="U22" s="1" t="s">
        <v>205</v>
      </c>
      <c r="V22" s="1" t="s">
        <v>46</v>
      </c>
      <c r="W22" s="1" t="s">
        <v>206</v>
      </c>
      <c r="X22" s="1" t="s">
        <v>46</v>
      </c>
      <c r="Y22" s="1" t="s">
        <v>46</v>
      </c>
      <c r="Z22" s="1" t="s">
        <v>46</v>
      </c>
      <c r="AA22" s="1" t="s">
        <v>46</v>
      </c>
      <c r="AB22" s="1" t="s">
        <v>46</v>
      </c>
      <c r="AC22" s="1" t="s">
        <v>46</v>
      </c>
      <c r="AD22" s="1" t="s">
        <v>46</v>
      </c>
      <c r="AE22" s="1" t="s">
        <v>225</v>
      </c>
      <c r="AF22" s="1" t="s">
        <v>92</v>
      </c>
      <c r="AG22" s="1" t="s">
        <v>46</v>
      </c>
      <c r="AH22" s="1" t="s">
        <v>46</v>
      </c>
      <c r="AI22" s="1" t="s">
        <v>46</v>
      </c>
      <c r="AJ22" s="1" t="s">
        <v>46</v>
      </c>
      <c r="AK22" s="3" t="s">
        <v>52</v>
      </c>
    </row>
    <row r="23" customHeight="1" spans="3:37">
      <c r="C23" s="1" t="s">
        <v>93</v>
      </c>
      <c r="D23" s="10">
        <v>45792</v>
      </c>
      <c r="I23" s="2">
        <v>6000</v>
      </c>
      <c r="K23" s="1" t="s">
        <v>44</v>
      </c>
      <c r="T23" s="1" t="s">
        <v>100</v>
      </c>
      <c r="AK23" s="3" t="s">
        <v>52</v>
      </c>
    </row>
    <row r="24" customHeight="1" spans="1:37">
      <c r="A24" s="1" t="s">
        <v>38</v>
      </c>
      <c r="B24" s="1" t="s">
        <v>39</v>
      </c>
      <c r="C24" s="1" t="s">
        <v>40</v>
      </c>
      <c r="D24" s="10" t="s">
        <v>226</v>
      </c>
      <c r="E24" s="1" t="s">
        <v>227</v>
      </c>
      <c r="F24" s="1" t="s">
        <v>226</v>
      </c>
      <c r="G24" s="1" t="s">
        <v>43</v>
      </c>
      <c r="I24" s="2">
        <v>5000</v>
      </c>
      <c r="J24" s="1">
        <v>1699373.97</v>
      </c>
      <c r="K24" s="1" t="s">
        <v>228</v>
      </c>
      <c r="L24" s="1" t="s">
        <v>229</v>
      </c>
      <c r="M24" s="1" t="s">
        <v>230</v>
      </c>
      <c r="N24" s="1" t="s">
        <v>57</v>
      </c>
      <c r="O24" s="1" t="s">
        <v>46</v>
      </c>
      <c r="P24" s="1" t="s">
        <v>231</v>
      </c>
      <c r="Q24" s="1" t="s">
        <v>46</v>
      </c>
      <c r="R24" s="1" t="s">
        <v>46</v>
      </c>
      <c r="S24" s="1" t="s">
        <v>46</v>
      </c>
      <c r="T24" s="1" t="s">
        <v>103</v>
      </c>
      <c r="U24" s="1" t="s">
        <v>218</v>
      </c>
      <c r="V24" s="1" t="s">
        <v>46</v>
      </c>
      <c r="W24" s="1" t="s">
        <v>219</v>
      </c>
      <c r="X24" s="1" t="s">
        <v>220</v>
      </c>
      <c r="Y24" s="1" t="s">
        <v>46</v>
      </c>
      <c r="Z24" s="1" t="s">
        <v>46</v>
      </c>
      <c r="AA24" s="1" t="s">
        <v>46</v>
      </c>
      <c r="AB24" s="1" t="s">
        <v>46</v>
      </c>
      <c r="AC24" s="1" t="s">
        <v>46</v>
      </c>
      <c r="AD24" s="1" t="s">
        <v>46</v>
      </c>
      <c r="AE24" s="1" t="s">
        <v>232</v>
      </c>
      <c r="AF24" s="1" t="s">
        <v>51</v>
      </c>
      <c r="AG24" s="1" t="s">
        <v>46</v>
      </c>
      <c r="AH24" s="1" t="s">
        <v>46</v>
      </c>
      <c r="AI24" s="1" t="s">
        <v>46</v>
      </c>
      <c r="AJ24" s="1" t="s">
        <v>46</v>
      </c>
      <c r="AK24" s="3" t="s">
        <v>52</v>
      </c>
    </row>
    <row r="25" customHeight="1" spans="3:20">
      <c r="C25" s="1" t="s">
        <v>93</v>
      </c>
      <c r="D25" s="10">
        <v>45804</v>
      </c>
      <c r="I25" s="2">
        <v>6000</v>
      </c>
      <c r="T25" s="1" t="s">
        <v>100</v>
      </c>
    </row>
    <row r="26" customHeight="1" spans="3:37">
      <c r="C26" s="1" t="s">
        <v>93</v>
      </c>
      <c r="D26" s="10">
        <v>45805</v>
      </c>
      <c r="I26" s="2">
        <v>878000</v>
      </c>
      <c r="T26" s="1" t="s">
        <v>47</v>
      </c>
      <c r="AK26" s="3" t="s">
        <v>52</v>
      </c>
    </row>
    <row r="27" customHeight="1" spans="3:37">
      <c r="C27" s="1" t="s">
        <v>93</v>
      </c>
      <c r="D27" s="10">
        <v>45818</v>
      </c>
      <c r="I27" s="2">
        <v>10200</v>
      </c>
      <c r="K27" s="1" t="s">
        <v>44</v>
      </c>
      <c r="T27" s="1" t="s">
        <v>95</v>
      </c>
      <c r="AK27" s="3" t="s">
        <v>52</v>
      </c>
    </row>
    <row r="28" customHeight="1" spans="3:20">
      <c r="C28" s="1" t="s">
        <v>93</v>
      </c>
      <c r="D28" s="10">
        <v>45832</v>
      </c>
      <c r="I28" s="2">
        <v>8500</v>
      </c>
      <c r="K28" s="1" t="s">
        <v>44</v>
      </c>
      <c r="T28" s="1" t="s">
        <v>95</v>
      </c>
    </row>
    <row r="29" customFormat="1" ht="23" customHeight="1" spans="1:41">
      <c r="A29" s="36" t="s">
        <v>38</v>
      </c>
      <c r="B29" t="s">
        <v>39</v>
      </c>
      <c r="C29" s="1" t="s">
        <v>40</v>
      </c>
      <c r="D29" s="10">
        <v>45827</v>
      </c>
      <c r="E29" t="s">
        <v>233</v>
      </c>
      <c r="F29" t="s">
        <v>234</v>
      </c>
      <c r="G29" t="s">
        <v>43</v>
      </c>
      <c r="H29" s="31"/>
      <c r="I29" s="2">
        <v>3000</v>
      </c>
      <c r="J29" s="1">
        <v>1072587.73</v>
      </c>
      <c r="K29" s="1" t="s">
        <v>235</v>
      </c>
      <c r="L29" s="1" t="s">
        <v>236</v>
      </c>
      <c r="M29" s="1" t="s">
        <v>237</v>
      </c>
      <c r="N29" s="1" t="s">
        <v>57</v>
      </c>
      <c r="O29" s="1" t="s">
        <v>46</v>
      </c>
      <c r="P29" s="1" t="s">
        <v>238</v>
      </c>
      <c r="Q29" s="1" t="s">
        <v>46</v>
      </c>
      <c r="R29" s="1" t="s">
        <v>46</v>
      </c>
      <c r="S29" s="1" t="s">
        <v>46</v>
      </c>
      <c r="T29" s="1" t="s">
        <v>103</v>
      </c>
      <c r="U29" t="s">
        <v>218</v>
      </c>
      <c r="V29" t="s">
        <v>46</v>
      </c>
      <c r="W29" t="s">
        <v>219</v>
      </c>
      <c r="X29" t="s">
        <v>220</v>
      </c>
      <c r="Y29" t="s">
        <v>46</v>
      </c>
      <c r="Z29" t="s">
        <v>46</v>
      </c>
      <c r="AA29" t="s">
        <v>46</v>
      </c>
      <c r="AB29" t="s">
        <v>46</v>
      </c>
      <c r="AC29" t="s">
        <v>46</v>
      </c>
      <c r="AD29" t="s">
        <v>46</v>
      </c>
      <c r="AE29" t="s">
        <v>239</v>
      </c>
      <c r="AF29" t="s">
        <v>51</v>
      </c>
      <c r="AG29" t="s">
        <v>46</v>
      </c>
      <c r="AH29" t="s">
        <v>46</v>
      </c>
      <c r="AI29" t="s">
        <v>46</v>
      </c>
      <c r="AJ29" t="s">
        <v>46</v>
      </c>
      <c r="AN29" s="27"/>
      <c r="AO29" s="30"/>
    </row>
    <row r="30" customHeight="1" spans="1:36">
      <c r="A30" s="1" t="s">
        <v>38</v>
      </c>
      <c r="B30" s="1" t="s">
        <v>39</v>
      </c>
      <c r="C30" s="1" t="s">
        <v>40</v>
      </c>
      <c r="D30" s="1" t="s">
        <v>240</v>
      </c>
      <c r="E30" s="1" t="s">
        <v>241</v>
      </c>
      <c r="F30" s="1" t="s">
        <v>240</v>
      </c>
      <c r="G30" s="1" t="s">
        <v>43</v>
      </c>
      <c r="I30" s="2">
        <v>708750</v>
      </c>
      <c r="J30" s="1">
        <v>1781926.27</v>
      </c>
      <c r="K30" s="1" t="s">
        <v>44</v>
      </c>
      <c r="L30" s="1" t="s">
        <v>242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47</v>
      </c>
      <c r="U30" s="1" t="s">
        <v>48</v>
      </c>
      <c r="V30" s="1" t="s">
        <v>46</v>
      </c>
      <c r="W30" s="1" t="s">
        <v>49</v>
      </c>
      <c r="X30" s="1" t="s">
        <v>46</v>
      </c>
      <c r="Y30" s="1" t="s">
        <v>46</v>
      </c>
      <c r="Z30" s="1" t="s">
        <v>46</v>
      </c>
      <c r="AA30" s="1" t="s">
        <v>46</v>
      </c>
      <c r="AB30" s="1" t="s">
        <v>46</v>
      </c>
      <c r="AC30" s="1" t="s">
        <v>46</v>
      </c>
      <c r="AD30" s="1" t="s">
        <v>46</v>
      </c>
      <c r="AE30" s="1" t="s">
        <v>243</v>
      </c>
      <c r="AF30" s="1" t="s">
        <v>51</v>
      </c>
      <c r="AG30" s="1" t="s">
        <v>46</v>
      </c>
      <c r="AH30" s="1" t="s">
        <v>46</v>
      </c>
      <c r="AI30" s="1" t="s">
        <v>46</v>
      </c>
      <c r="AJ30" s="1" t="s">
        <v>46</v>
      </c>
    </row>
    <row r="31" customHeight="1" spans="1:36">
      <c r="A31" s="1" t="s">
        <v>38</v>
      </c>
      <c r="B31" s="1" t="s">
        <v>39</v>
      </c>
      <c r="C31" s="1" t="s">
        <v>40</v>
      </c>
      <c r="D31" s="1" t="s">
        <v>244</v>
      </c>
      <c r="E31" s="1" t="s">
        <v>245</v>
      </c>
      <c r="F31" s="1" t="s">
        <v>244</v>
      </c>
      <c r="G31" s="1" t="s">
        <v>86</v>
      </c>
      <c r="I31" s="2">
        <v>7000</v>
      </c>
      <c r="J31" s="1">
        <v>1788926.27</v>
      </c>
      <c r="K31" s="1" t="s">
        <v>44</v>
      </c>
      <c r="L31" s="1" t="s">
        <v>246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117</v>
      </c>
      <c r="U31" s="1" t="s">
        <v>247</v>
      </c>
      <c r="V31" s="1" t="s">
        <v>46</v>
      </c>
      <c r="W31" s="1" t="s">
        <v>248</v>
      </c>
      <c r="X31" s="1" t="s">
        <v>46</v>
      </c>
      <c r="Y31" s="1" t="s">
        <v>46</v>
      </c>
      <c r="Z31" s="1" t="s">
        <v>46</v>
      </c>
      <c r="AA31" s="1" t="s">
        <v>46</v>
      </c>
      <c r="AB31" s="1" t="s">
        <v>46</v>
      </c>
      <c r="AC31" s="1" t="s">
        <v>46</v>
      </c>
      <c r="AD31" s="1" t="s">
        <v>46</v>
      </c>
      <c r="AE31" s="1" t="s">
        <v>249</v>
      </c>
      <c r="AF31" s="1" t="s">
        <v>92</v>
      </c>
      <c r="AG31" s="1" t="s">
        <v>46</v>
      </c>
      <c r="AH31" s="1" t="s">
        <v>46</v>
      </c>
      <c r="AI31" s="1" t="s">
        <v>46</v>
      </c>
      <c r="AJ31" s="1" t="s">
        <v>46</v>
      </c>
    </row>
    <row r="32" customHeight="1" spans="3:9">
      <c r="C32" s="11" t="s">
        <v>250</v>
      </c>
      <c r="D32" s="11"/>
      <c r="E32" s="12"/>
      <c r="F32" s="12"/>
      <c r="G32" s="12"/>
      <c r="H32" s="12"/>
      <c r="I32" s="15">
        <f>SUBTOTAL(9,I2:I31)</f>
        <v>3882700</v>
      </c>
    </row>
  </sheetData>
  <autoFilter xmlns:etc="http://www.wps.cn/officeDocument/2017/etCustomData" ref="C1:AL31" etc:filterBottomFollowUsedRange="0">
    <extLst/>
  </autoFilter>
  <mergeCells count="1">
    <mergeCell ref="C32:D32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3"/>
  <sheetViews>
    <sheetView zoomScale="102" zoomScaleNormal="102" workbookViewId="0">
      <pane ySplit="1" topLeftCell="A12" activePane="bottomLeft" state="frozen"/>
      <selection/>
      <selection pane="bottomLeft" activeCell="I2" sqref="I2:I32"/>
    </sheetView>
  </sheetViews>
  <sheetFormatPr defaultColWidth="10.2857142857143" defaultRowHeight="18" customHeight="1"/>
  <cols>
    <col min="1" max="2" width="18" style="1" hidden="1" customWidth="1"/>
    <col min="3" max="3" width="16.2380952380952" style="1" customWidth="1"/>
    <col min="4" max="4" width="19.8857142857143" style="3" customWidth="1"/>
    <col min="5" max="8" width="18" style="1" hidden="1" customWidth="1"/>
    <col min="9" max="9" width="18" style="2" customWidth="1"/>
    <col min="10" max="10" width="18" style="1" hidden="1" customWidth="1"/>
    <col min="11" max="11" width="14.4285714285714" style="1" customWidth="1"/>
    <col min="12" max="19" width="18" style="1" hidden="1" customWidth="1"/>
    <col min="20" max="20" width="43.1428571428571" style="1" customWidth="1"/>
    <col min="21" max="36" width="18" style="1" hidden="1" customWidth="1"/>
    <col min="37" max="37" width="10.6380952380952" style="3" customWidth="1"/>
    <col min="38" max="38" width="9.51428571428571" style="17" customWidth="1"/>
    <col min="39" max="39" width="10.2857142857143" style="1"/>
    <col min="40" max="40" width="32" style="20"/>
    <col min="41" max="41" width="16.8571428571429" style="21"/>
    <col min="42" max="42" width="12.8571428571429" style="22"/>
    <col min="43" max="16384" width="10.2857142857143" style="1"/>
  </cols>
  <sheetData>
    <row r="1" ht="26" customHeight="1" spans="1:38">
      <c r="A1" s="4" t="s">
        <v>0</v>
      </c>
      <c r="B1" s="4" t="s">
        <v>1</v>
      </c>
      <c r="C1" s="5" t="s">
        <v>2</v>
      </c>
      <c r="D1" s="18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3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8" t="s">
        <v>36</v>
      </c>
      <c r="AL1" s="26" t="s">
        <v>37</v>
      </c>
    </row>
    <row r="2" customHeight="1" spans="1:37">
      <c r="A2" s="1" t="s">
        <v>38</v>
      </c>
      <c r="B2" s="1" t="s">
        <v>39</v>
      </c>
      <c r="C2" s="1" t="s">
        <v>40</v>
      </c>
      <c r="D2" s="3" t="s">
        <v>41</v>
      </c>
      <c r="E2" s="1" t="s">
        <v>42</v>
      </c>
      <c r="F2" s="1" t="s">
        <v>41</v>
      </c>
      <c r="G2" s="1" t="s">
        <v>43</v>
      </c>
      <c r="I2" s="2">
        <v>1696000</v>
      </c>
      <c r="J2" s="1">
        <v>9066097.41</v>
      </c>
      <c r="K2" s="1" t="s">
        <v>44</v>
      </c>
      <c r="L2" s="1" t="s">
        <v>45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46</v>
      </c>
      <c r="T2" s="1" t="s">
        <v>47</v>
      </c>
      <c r="U2" s="1" t="s">
        <v>48</v>
      </c>
      <c r="V2" s="1" t="s">
        <v>46</v>
      </c>
      <c r="W2" s="1" t="s">
        <v>49</v>
      </c>
      <c r="X2" s="1" t="s">
        <v>46</v>
      </c>
      <c r="Y2" s="1" t="s">
        <v>46</v>
      </c>
      <c r="Z2" s="1" t="s">
        <v>46</v>
      </c>
      <c r="AA2" s="1" t="s">
        <v>46</v>
      </c>
      <c r="AB2" s="1" t="s">
        <v>46</v>
      </c>
      <c r="AC2" s="1" t="s">
        <v>46</v>
      </c>
      <c r="AD2" s="1" t="s">
        <v>46</v>
      </c>
      <c r="AE2" s="1" t="s">
        <v>50</v>
      </c>
      <c r="AF2" s="1" t="s">
        <v>51</v>
      </c>
      <c r="AG2" s="1" t="s">
        <v>46</v>
      </c>
      <c r="AH2" s="1" t="s">
        <v>46</v>
      </c>
      <c r="AI2" s="1" t="s">
        <v>46</v>
      </c>
      <c r="AJ2" s="1" t="s">
        <v>46</v>
      </c>
      <c r="AK2" s="3" t="s">
        <v>52</v>
      </c>
    </row>
    <row r="3" customHeight="1" spans="1:42">
      <c r="A3" s="1" t="s">
        <v>38</v>
      </c>
      <c r="B3" s="1" t="s">
        <v>39</v>
      </c>
      <c r="C3" s="1" t="s">
        <v>40</v>
      </c>
      <c r="D3" s="3" t="s">
        <v>53</v>
      </c>
      <c r="E3" s="1" t="s">
        <v>54</v>
      </c>
      <c r="F3" s="1" t="s">
        <v>53</v>
      </c>
      <c r="G3" s="1" t="s">
        <v>43</v>
      </c>
      <c r="H3" s="6"/>
      <c r="I3" s="2">
        <v>430000</v>
      </c>
      <c r="J3" s="6">
        <v>8138928.19</v>
      </c>
      <c r="K3" s="1" t="s">
        <v>44</v>
      </c>
      <c r="L3" s="1" t="s">
        <v>55</v>
      </c>
      <c r="M3" s="1" t="s">
        <v>56</v>
      </c>
      <c r="N3" s="1" t="s">
        <v>57</v>
      </c>
      <c r="O3" s="1" t="s">
        <v>46</v>
      </c>
      <c r="P3" s="1" t="s">
        <v>58</v>
      </c>
      <c r="Q3" s="1" t="s">
        <v>46</v>
      </c>
      <c r="R3" s="1" t="s">
        <v>46</v>
      </c>
      <c r="S3" s="1" t="s">
        <v>46</v>
      </c>
      <c r="T3" s="1" t="s">
        <v>47</v>
      </c>
      <c r="U3" s="1" t="s">
        <v>59</v>
      </c>
      <c r="V3" s="1" t="s">
        <v>46</v>
      </c>
      <c r="W3" s="1" t="s">
        <v>60</v>
      </c>
      <c r="X3" s="1" t="s">
        <v>61</v>
      </c>
      <c r="Y3" s="1" t="s">
        <v>46</v>
      </c>
      <c r="Z3" s="1" t="s">
        <v>46</v>
      </c>
      <c r="AA3" s="1" t="s">
        <v>46</v>
      </c>
      <c r="AB3" s="1" t="s">
        <v>46</v>
      </c>
      <c r="AC3" s="1" t="s">
        <v>46</v>
      </c>
      <c r="AD3" s="1" t="s">
        <v>46</v>
      </c>
      <c r="AE3" s="1" t="s">
        <v>62</v>
      </c>
      <c r="AF3" s="1" t="s">
        <v>51</v>
      </c>
      <c r="AG3" s="1" t="s">
        <v>46</v>
      </c>
      <c r="AH3" s="1" t="s">
        <v>46</v>
      </c>
      <c r="AI3" s="1" t="s">
        <v>46</v>
      </c>
      <c r="AJ3" s="1" t="s">
        <v>46</v>
      </c>
      <c r="AK3" s="3" t="s">
        <v>52</v>
      </c>
      <c r="AN3" s="27" t="s">
        <v>19</v>
      </c>
      <c r="AO3" s="27" t="s">
        <v>71</v>
      </c>
      <c r="AP3" s="29"/>
    </row>
    <row r="4" customHeight="1" spans="1:42">
      <c r="A4" s="1" t="s">
        <v>38</v>
      </c>
      <c r="B4" s="1" t="s">
        <v>39</v>
      </c>
      <c r="C4" s="1" t="s">
        <v>40</v>
      </c>
      <c r="D4" s="3" t="s">
        <v>63</v>
      </c>
      <c r="E4" s="1" t="s">
        <v>64</v>
      </c>
      <c r="F4" s="1" t="s">
        <v>63</v>
      </c>
      <c r="G4" s="1" t="s">
        <v>43</v>
      </c>
      <c r="H4" s="6"/>
      <c r="I4" s="2">
        <v>300000</v>
      </c>
      <c r="J4" s="6">
        <v>7342174.23</v>
      </c>
      <c r="K4" s="1" t="s">
        <v>44</v>
      </c>
      <c r="L4" s="1" t="s">
        <v>65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66</v>
      </c>
      <c r="U4" s="1" t="s">
        <v>67</v>
      </c>
      <c r="V4" s="1" t="s">
        <v>46</v>
      </c>
      <c r="W4" s="1" t="s">
        <v>68</v>
      </c>
      <c r="X4" s="1" t="s">
        <v>46</v>
      </c>
      <c r="Y4" s="1" t="s">
        <v>46</v>
      </c>
      <c r="Z4" s="1" t="s">
        <v>46</v>
      </c>
      <c r="AA4" s="1" t="s">
        <v>46</v>
      </c>
      <c r="AB4" s="1" t="s">
        <v>46</v>
      </c>
      <c r="AC4" s="1" t="s">
        <v>46</v>
      </c>
      <c r="AD4" s="1" t="s">
        <v>46</v>
      </c>
      <c r="AE4" s="1" t="s">
        <v>69</v>
      </c>
      <c r="AF4" s="1" t="s">
        <v>51</v>
      </c>
      <c r="AG4" s="1" t="s">
        <v>46</v>
      </c>
      <c r="AH4" s="1" t="s">
        <v>46</v>
      </c>
      <c r="AI4" s="1" t="s">
        <v>46</v>
      </c>
      <c r="AJ4" s="1" t="s">
        <v>46</v>
      </c>
      <c r="AK4" s="3" t="s">
        <v>52</v>
      </c>
      <c r="AL4" s="17" t="s">
        <v>70</v>
      </c>
      <c r="AN4" s="27" t="s">
        <v>47</v>
      </c>
      <c r="AO4" s="30">
        <v>2126000</v>
      </c>
      <c r="AP4" s="29">
        <f>GETPIVOTDATA("收款金额",$AN$3,"付方名称","上海瑞桥深息医疗科技有限公司")/GETPIVOTDATA("收款金额",$AN$3)</f>
        <v>0.721311233352367</v>
      </c>
    </row>
    <row r="5" customHeight="1" spans="1:42">
      <c r="A5" s="1" t="s">
        <v>38</v>
      </c>
      <c r="B5" s="1" t="s">
        <v>39</v>
      </c>
      <c r="C5" s="1" t="s">
        <v>40</v>
      </c>
      <c r="D5" s="3" t="s">
        <v>72</v>
      </c>
      <c r="E5" s="1" t="s">
        <v>73</v>
      </c>
      <c r="F5" s="1" t="s">
        <v>72</v>
      </c>
      <c r="G5" s="1" t="s">
        <v>43</v>
      </c>
      <c r="H5" s="6"/>
      <c r="I5" s="2">
        <v>190000</v>
      </c>
      <c r="J5" s="6">
        <v>6928174.23</v>
      </c>
      <c r="K5" s="1" t="s">
        <v>44</v>
      </c>
      <c r="L5" s="1" t="s">
        <v>74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75</v>
      </c>
      <c r="U5" s="1" t="s">
        <v>76</v>
      </c>
      <c r="V5" s="1" t="s">
        <v>46</v>
      </c>
      <c r="W5" s="1" t="s">
        <v>68</v>
      </c>
      <c r="X5" s="1" t="s">
        <v>46</v>
      </c>
      <c r="Y5" s="1" t="s">
        <v>46</v>
      </c>
      <c r="Z5" s="1" t="s">
        <v>46</v>
      </c>
      <c r="AA5" s="1" t="s">
        <v>46</v>
      </c>
      <c r="AB5" s="1" t="s">
        <v>46</v>
      </c>
      <c r="AC5" s="1" t="s">
        <v>46</v>
      </c>
      <c r="AD5" s="1" t="s">
        <v>46</v>
      </c>
      <c r="AE5" s="1" t="s">
        <v>77</v>
      </c>
      <c r="AF5" s="1" t="s">
        <v>51</v>
      </c>
      <c r="AG5" s="1" t="s">
        <v>46</v>
      </c>
      <c r="AH5" s="1" t="s">
        <v>46</v>
      </c>
      <c r="AI5" s="1" t="s">
        <v>46</v>
      </c>
      <c r="AJ5" s="1" t="s">
        <v>46</v>
      </c>
      <c r="AL5" s="17" t="s">
        <v>78</v>
      </c>
      <c r="AN5" s="27" t="s">
        <v>75</v>
      </c>
      <c r="AO5" s="30">
        <v>300000</v>
      </c>
      <c r="AP5" s="29">
        <f>GETPIVOTDATA("收款金额",$AN$3,"付方名称","河南照腾医疗科技有限公司")/GETPIVOTDATA("收款金额",$AN$3)</f>
        <v>0.101784275637681</v>
      </c>
    </row>
    <row r="6" customHeight="1" spans="1:42">
      <c r="A6" s="1" t="s">
        <v>38</v>
      </c>
      <c r="B6" s="1" t="s">
        <v>39</v>
      </c>
      <c r="C6" s="1" t="s">
        <v>40</v>
      </c>
      <c r="D6" s="3" t="s">
        <v>79</v>
      </c>
      <c r="E6" s="1" t="s">
        <v>80</v>
      </c>
      <c r="F6" s="1" t="s">
        <v>79</v>
      </c>
      <c r="G6" s="1" t="s">
        <v>43</v>
      </c>
      <c r="H6" s="6"/>
      <c r="I6" s="2">
        <v>110000</v>
      </c>
      <c r="J6" s="6">
        <v>7038174.23</v>
      </c>
      <c r="K6" s="1" t="s">
        <v>44</v>
      </c>
      <c r="L6" s="1" t="s">
        <v>81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75</v>
      </c>
      <c r="U6" s="1" t="s">
        <v>76</v>
      </c>
      <c r="V6" s="1" t="s">
        <v>46</v>
      </c>
      <c r="W6" s="1" t="s">
        <v>68</v>
      </c>
      <c r="X6" s="1" t="s">
        <v>46</v>
      </c>
      <c r="Y6" s="1" t="s">
        <v>46</v>
      </c>
      <c r="Z6" s="1" t="s">
        <v>46</v>
      </c>
      <c r="AA6" s="1" t="s">
        <v>46</v>
      </c>
      <c r="AB6" s="1" t="s">
        <v>46</v>
      </c>
      <c r="AC6" s="1" t="s">
        <v>46</v>
      </c>
      <c r="AD6" s="1" t="s">
        <v>46</v>
      </c>
      <c r="AE6" s="1" t="s">
        <v>82</v>
      </c>
      <c r="AF6" s="1" t="s">
        <v>51</v>
      </c>
      <c r="AG6" s="1" t="s">
        <v>46</v>
      </c>
      <c r="AH6" s="1" t="s">
        <v>46</v>
      </c>
      <c r="AI6" s="1" t="s">
        <v>46</v>
      </c>
      <c r="AJ6" s="1" t="s">
        <v>46</v>
      </c>
      <c r="AL6" s="17" t="s">
        <v>78</v>
      </c>
      <c r="AN6" s="27" t="s">
        <v>66</v>
      </c>
      <c r="AO6" s="30">
        <v>300000</v>
      </c>
      <c r="AP6" s="29">
        <f>GETPIVOTDATA("收款金额",$AN$3,"付方名称","河南莘晟医疗科技有限公司")/GETPIVOTDATA("收款金额",$AN$3)</f>
        <v>0.101784275637681</v>
      </c>
    </row>
    <row r="7" customHeight="1" spans="1:42">
      <c r="A7" s="1" t="s">
        <v>38</v>
      </c>
      <c r="B7" s="1" t="s">
        <v>39</v>
      </c>
      <c r="C7" s="1" t="s">
        <v>40</v>
      </c>
      <c r="D7" s="3" t="s">
        <v>84</v>
      </c>
      <c r="E7" s="1" t="s">
        <v>85</v>
      </c>
      <c r="F7" s="1" t="s">
        <v>84</v>
      </c>
      <c r="G7" s="1" t="s">
        <v>86</v>
      </c>
      <c r="H7" s="6"/>
      <c r="I7" s="2">
        <v>50000</v>
      </c>
      <c r="J7" s="6">
        <v>5139125.58</v>
      </c>
      <c r="K7" s="1" t="s">
        <v>44</v>
      </c>
      <c r="L7" s="1" t="s">
        <v>87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46</v>
      </c>
      <c r="T7" s="1" t="s">
        <v>88</v>
      </c>
      <c r="U7" s="1" t="s">
        <v>89</v>
      </c>
      <c r="V7" s="1" t="s">
        <v>46</v>
      </c>
      <c r="W7" s="1" t="s">
        <v>90</v>
      </c>
      <c r="X7" s="1" t="s">
        <v>46</v>
      </c>
      <c r="Y7" s="1" t="s">
        <v>46</v>
      </c>
      <c r="Z7" s="1" t="s">
        <v>46</v>
      </c>
      <c r="AA7" s="1" t="s">
        <v>46</v>
      </c>
      <c r="AB7" s="1" t="s">
        <v>46</v>
      </c>
      <c r="AC7" s="1" t="s">
        <v>46</v>
      </c>
      <c r="AD7" s="1" t="s">
        <v>46</v>
      </c>
      <c r="AE7" s="1" t="s">
        <v>91</v>
      </c>
      <c r="AF7" s="1" t="s">
        <v>92</v>
      </c>
      <c r="AG7" s="1" t="s">
        <v>46</v>
      </c>
      <c r="AH7" s="1" t="s">
        <v>46</v>
      </c>
      <c r="AI7" s="1" t="s">
        <v>46</v>
      </c>
      <c r="AJ7" s="1" t="s">
        <v>46</v>
      </c>
      <c r="AK7" s="3" t="s">
        <v>52</v>
      </c>
      <c r="AN7" s="27" t="s">
        <v>94</v>
      </c>
      <c r="AO7" s="30">
        <v>50000</v>
      </c>
      <c r="AP7" s="29"/>
    </row>
    <row r="8" customHeight="1" spans="3:42">
      <c r="C8" s="1" t="s">
        <v>93</v>
      </c>
      <c r="D8" s="23">
        <v>45412</v>
      </c>
      <c r="H8" s="6"/>
      <c r="I8" s="2">
        <v>42000</v>
      </c>
      <c r="J8" s="6"/>
      <c r="K8" s="1" t="s">
        <v>44</v>
      </c>
      <c r="T8" s="1" t="s">
        <v>94</v>
      </c>
      <c r="AK8" s="3" t="s">
        <v>52</v>
      </c>
      <c r="AN8" s="27" t="s">
        <v>88</v>
      </c>
      <c r="AO8" s="30">
        <v>50000</v>
      </c>
      <c r="AP8" s="29"/>
    </row>
    <row r="9" customHeight="1" spans="3:42">
      <c r="C9" s="1" t="s">
        <v>93</v>
      </c>
      <c r="D9" s="23">
        <v>45623</v>
      </c>
      <c r="H9" s="6"/>
      <c r="I9" s="2">
        <v>13600</v>
      </c>
      <c r="J9" s="6"/>
      <c r="K9" s="1" t="s">
        <v>44</v>
      </c>
      <c r="T9" s="1" t="s">
        <v>95</v>
      </c>
      <c r="AK9" s="3" t="s">
        <v>52</v>
      </c>
      <c r="AN9" s="27" t="s">
        <v>95</v>
      </c>
      <c r="AO9" s="30">
        <v>42500</v>
      </c>
      <c r="AP9" s="29"/>
    </row>
    <row r="10" customHeight="1" spans="3:42">
      <c r="C10" s="1" t="s">
        <v>93</v>
      </c>
      <c r="D10" s="23">
        <v>45531</v>
      </c>
      <c r="H10" s="6"/>
      <c r="I10" s="2">
        <v>12260.08</v>
      </c>
      <c r="J10" s="6"/>
      <c r="K10" s="1" t="s">
        <v>44</v>
      </c>
      <c r="T10" s="1" t="s">
        <v>96</v>
      </c>
      <c r="AK10" s="3" t="s">
        <v>52</v>
      </c>
      <c r="AN10" s="27" t="s">
        <v>97</v>
      </c>
      <c r="AO10" s="30">
        <v>21300</v>
      </c>
      <c r="AP10" s="29"/>
    </row>
    <row r="11" customHeight="1" spans="3:42">
      <c r="C11" s="1" t="s">
        <v>93</v>
      </c>
      <c r="D11" s="23">
        <v>45629</v>
      </c>
      <c r="H11" s="6"/>
      <c r="I11" s="2">
        <v>10200</v>
      </c>
      <c r="J11" s="6"/>
      <c r="K11" s="1" t="s">
        <v>44</v>
      </c>
      <c r="T11" s="1" t="s">
        <v>95</v>
      </c>
      <c r="AK11" s="3" t="s">
        <v>52</v>
      </c>
      <c r="AN11" s="27" t="s">
        <v>96</v>
      </c>
      <c r="AO11" s="30">
        <v>12260.08</v>
      </c>
      <c r="AP11" s="29"/>
    </row>
    <row r="12" customHeight="1" spans="3:42">
      <c r="C12" s="1" t="s">
        <v>93</v>
      </c>
      <c r="D12" s="23">
        <v>45615</v>
      </c>
      <c r="H12" s="6"/>
      <c r="I12" s="2">
        <v>10020</v>
      </c>
      <c r="J12" s="6"/>
      <c r="K12" s="1" t="s">
        <v>44</v>
      </c>
      <c r="T12" s="1" t="s">
        <v>95</v>
      </c>
      <c r="AK12" s="3" t="s">
        <v>52</v>
      </c>
      <c r="AN12" s="27" t="s">
        <v>99</v>
      </c>
      <c r="AO12" s="30">
        <v>9600</v>
      </c>
      <c r="AP12" s="29"/>
    </row>
    <row r="13" customHeight="1" spans="3:42">
      <c r="C13" s="1" t="s">
        <v>93</v>
      </c>
      <c r="D13" s="23">
        <v>45657</v>
      </c>
      <c r="H13" s="6"/>
      <c r="I13" s="2">
        <v>9600</v>
      </c>
      <c r="J13" s="6"/>
      <c r="K13" s="1" t="s">
        <v>44</v>
      </c>
      <c r="T13" s="1" t="s">
        <v>99</v>
      </c>
      <c r="AK13" s="3" t="s">
        <v>52</v>
      </c>
      <c r="AN13" s="27" t="s">
        <v>101</v>
      </c>
      <c r="AO13" s="30">
        <v>9000</v>
      </c>
      <c r="AP13" s="29"/>
    </row>
    <row r="14" customHeight="1" spans="3:42">
      <c r="C14" s="1" t="s">
        <v>93</v>
      </c>
      <c r="D14" s="23">
        <v>45530</v>
      </c>
      <c r="H14" s="6"/>
      <c r="I14" s="2">
        <v>9000</v>
      </c>
      <c r="J14" s="6"/>
      <c r="K14" s="1" t="s">
        <v>44</v>
      </c>
      <c r="T14" s="1" t="s">
        <v>101</v>
      </c>
      <c r="AK14" s="3" t="s">
        <v>52</v>
      </c>
      <c r="AN14" s="27" t="s">
        <v>98</v>
      </c>
      <c r="AO14" s="30">
        <v>8000</v>
      </c>
      <c r="AP14" s="29"/>
    </row>
    <row r="15" customHeight="1" spans="3:42">
      <c r="C15" s="1" t="s">
        <v>93</v>
      </c>
      <c r="D15" s="23">
        <v>45412</v>
      </c>
      <c r="H15" s="6"/>
      <c r="I15" s="2">
        <v>8000</v>
      </c>
      <c r="J15" s="6"/>
      <c r="K15" s="1" t="s">
        <v>44</v>
      </c>
      <c r="T15" s="1" t="s">
        <v>94</v>
      </c>
      <c r="AL15" s="17" t="s">
        <v>102</v>
      </c>
      <c r="AN15" s="27" t="s">
        <v>107</v>
      </c>
      <c r="AO15" s="30">
        <v>7500</v>
      </c>
      <c r="AP15" s="29"/>
    </row>
    <row r="16" customHeight="1" spans="1:42">
      <c r="A16" s="1" t="s">
        <v>38</v>
      </c>
      <c r="B16" s="1" t="s">
        <v>39</v>
      </c>
      <c r="C16" s="1" t="s">
        <v>40</v>
      </c>
      <c r="D16" s="3" t="s">
        <v>104</v>
      </c>
      <c r="E16" s="1" t="s">
        <v>105</v>
      </c>
      <c r="F16" s="1" t="s">
        <v>104</v>
      </c>
      <c r="G16" s="1" t="s">
        <v>43</v>
      </c>
      <c r="H16" s="6"/>
      <c r="I16" s="2">
        <v>7500</v>
      </c>
      <c r="J16" s="6">
        <v>6917571.47</v>
      </c>
      <c r="K16" s="1" t="s">
        <v>44</v>
      </c>
      <c r="L16" s="1" t="s">
        <v>106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46</v>
      </c>
      <c r="T16" s="1" t="s">
        <v>107</v>
      </c>
      <c r="U16" s="1" t="s">
        <v>108</v>
      </c>
      <c r="V16" s="1" t="s">
        <v>46</v>
      </c>
      <c r="W16" s="1" t="s">
        <v>109</v>
      </c>
      <c r="X16" s="1" t="s">
        <v>46</v>
      </c>
      <c r="Y16" s="1" t="s">
        <v>46</v>
      </c>
      <c r="Z16" s="1" t="s">
        <v>46</v>
      </c>
      <c r="AA16" s="1" t="s">
        <v>46</v>
      </c>
      <c r="AB16" s="1" t="s">
        <v>46</v>
      </c>
      <c r="AC16" s="1" t="s">
        <v>46</v>
      </c>
      <c r="AD16" s="1" t="s">
        <v>46</v>
      </c>
      <c r="AE16" s="1" t="s">
        <v>110</v>
      </c>
      <c r="AF16" s="1" t="s">
        <v>51</v>
      </c>
      <c r="AG16" s="1" t="s">
        <v>46</v>
      </c>
      <c r="AH16" s="1" t="s">
        <v>46</v>
      </c>
      <c r="AI16" s="1" t="s">
        <v>46</v>
      </c>
      <c r="AJ16" s="1" t="s">
        <v>46</v>
      </c>
      <c r="AK16" s="3" t="s">
        <v>52</v>
      </c>
      <c r="AN16" s="27" t="s">
        <v>127</v>
      </c>
      <c r="AO16" s="30">
        <v>3000</v>
      </c>
      <c r="AP16" s="29"/>
    </row>
    <row r="17" customHeight="1" spans="3:42">
      <c r="C17" s="1" t="s">
        <v>93</v>
      </c>
      <c r="D17" s="23">
        <v>45597</v>
      </c>
      <c r="H17" s="6"/>
      <c r="I17" s="2">
        <v>6800</v>
      </c>
      <c r="J17" s="6"/>
      <c r="K17" s="1" t="s">
        <v>44</v>
      </c>
      <c r="T17" s="1" t="s">
        <v>95</v>
      </c>
      <c r="AK17" s="3" t="s">
        <v>52</v>
      </c>
      <c r="AN17" s="27" t="s">
        <v>128</v>
      </c>
      <c r="AO17" s="30">
        <v>3000</v>
      </c>
      <c r="AP17" s="29"/>
    </row>
    <row r="18" customHeight="1" spans="1:42">
      <c r="A18" s="1" t="s">
        <v>38</v>
      </c>
      <c r="B18" s="1" t="s">
        <v>39</v>
      </c>
      <c r="C18" s="1" t="s">
        <v>40</v>
      </c>
      <c r="D18" s="3" t="s">
        <v>111</v>
      </c>
      <c r="E18" s="1" t="s">
        <v>112</v>
      </c>
      <c r="F18" s="1" t="s">
        <v>111</v>
      </c>
      <c r="G18" s="1" t="s">
        <v>86</v>
      </c>
      <c r="H18" s="6"/>
      <c r="I18" s="2">
        <v>6000</v>
      </c>
      <c r="J18" s="6">
        <v>12032417.84</v>
      </c>
      <c r="K18" s="1" t="s">
        <v>44</v>
      </c>
      <c r="L18" s="1" t="s">
        <v>113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46</v>
      </c>
      <c r="T18" s="1" t="s">
        <v>97</v>
      </c>
      <c r="U18" s="1" t="s">
        <v>114</v>
      </c>
      <c r="V18" s="1" t="s">
        <v>46</v>
      </c>
      <c r="W18" s="1" t="s">
        <v>115</v>
      </c>
      <c r="X18" s="1" t="s">
        <v>46</v>
      </c>
      <c r="Y18" s="1" t="s">
        <v>46</v>
      </c>
      <c r="Z18" s="1" t="s">
        <v>46</v>
      </c>
      <c r="AA18" s="1" t="s">
        <v>46</v>
      </c>
      <c r="AB18" s="1" t="s">
        <v>46</v>
      </c>
      <c r="AC18" s="1" t="s">
        <v>46</v>
      </c>
      <c r="AD18" s="1" t="s">
        <v>46</v>
      </c>
      <c r="AE18" s="1" t="s">
        <v>116</v>
      </c>
      <c r="AF18" s="1" t="s">
        <v>92</v>
      </c>
      <c r="AG18" s="1" t="s">
        <v>46</v>
      </c>
      <c r="AH18" s="1" t="s">
        <v>46</v>
      </c>
      <c r="AI18" s="1" t="s">
        <v>46</v>
      </c>
      <c r="AJ18" s="1" t="s">
        <v>46</v>
      </c>
      <c r="AK18" s="3" t="s">
        <v>52</v>
      </c>
      <c r="AN18" s="27" t="s">
        <v>133</v>
      </c>
      <c r="AO18" s="30">
        <v>2750</v>
      </c>
      <c r="AP18" s="29"/>
    </row>
    <row r="19" customHeight="1" spans="1:42">
      <c r="A19" s="1" t="s">
        <v>38</v>
      </c>
      <c r="B19" s="1" t="s">
        <v>39</v>
      </c>
      <c r="C19" s="1" t="s">
        <v>40</v>
      </c>
      <c r="D19" s="3" t="s">
        <v>118</v>
      </c>
      <c r="E19" s="1" t="s">
        <v>119</v>
      </c>
      <c r="F19" s="1" t="s">
        <v>118</v>
      </c>
      <c r="G19" s="1" t="s">
        <v>86</v>
      </c>
      <c r="H19" s="6"/>
      <c r="I19" s="2">
        <v>6000</v>
      </c>
      <c r="J19" s="6">
        <v>14741661.84</v>
      </c>
      <c r="K19" s="1" t="s">
        <v>44</v>
      </c>
      <c r="L19" s="1" t="s">
        <v>120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97</v>
      </c>
      <c r="U19" s="1" t="s">
        <v>114</v>
      </c>
      <c r="V19" s="1" t="s">
        <v>46</v>
      </c>
      <c r="W19" s="1" t="s">
        <v>115</v>
      </c>
      <c r="X19" s="1" t="s">
        <v>46</v>
      </c>
      <c r="Y19" s="1" t="s">
        <v>46</v>
      </c>
      <c r="Z19" s="1" t="s">
        <v>46</v>
      </c>
      <c r="AA19" s="1" t="s">
        <v>46</v>
      </c>
      <c r="AB19" s="1" t="s">
        <v>46</v>
      </c>
      <c r="AC19" s="1" t="s">
        <v>46</v>
      </c>
      <c r="AD19" s="1" t="s">
        <v>46</v>
      </c>
      <c r="AE19" s="1" t="s">
        <v>121</v>
      </c>
      <c r="AF19" s="1" t="s">
        <v>92</v>
      </c>
      <c r="AG19" s="1" t="s">
        <v>46</v>
      </c>
      <c r="AH19" s="1" t="s">
        <v>46</v>
      </c>
      <c r="AI19" s="1" t="s">
        <v>46</v>
      </c>
      <c r="AJ19" s="1" t="s">
        <v>46</v>
      </c>
      <c r="AK19" s="3" t="s">
        <v>52</v>
      </c>
      <c r="AN19" s="27" t="s">
        <v>141</v>
      </c>
      <c r="AO19" s="30">
        <v>1500</v>
      </c>
      <c r="AP19" s="29"/>
    </row>
    <row r="20" customHeight="1" spans="1:42">
      <c r="A20" s="1" t="s">
        <v>38</v>
      </c>
      <c r="B20" s="1" t="s">
        <v>39</v>
      </c>
      <c r="C20" s="1" t="s">
        <v>40</v>
      </c>
      <c r="D20" s="3" t="s">
        <v>123</v>
      </c>
      <c r="E20" s="1" t="s">
        <v>124</v>
      </c>
      <c r="F20" s="1" t="s">
        <v>123</v>
      </c>
      <c r="G20" s="1" t="s">
        <v>86</v>
      </c>
      <c r="H20" s="6"/>
      <c r="I20" s="2">
        <v>6000</v>
      </c>
      <c r="J20" s="6">
        <v>13683438.24</v>
      </c>
      <c r="K20" s="1" t="s">
        <v>44</v>
      </c>
      <c r="L20" s="1" t="s">
        <v>125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46</v>
      </c>
      <c r="T20" s="1" t="s">
        <v>97</v>
      </c>
      <c r="U20" s="1" t="s">
        <v>114</v>
      </c>
      <c r="V20" s="1" t="s">
        <v>46</v>
      </c>
      <c r="W20" s="1" t="s">
        <v>115</v>
      </c>
      <c r="X20" s="1" t="s">
        <v>46</v>
      </c>
      <c r="Y20" s="1" t="s">
        <v>46</v>
      </c>
      <c r="Z20" s="1" t="s">
        <v>46</v>
      </c>
      <c r="AA20" s="1" t="s">
        <v>46</v>
      </c>
      <c r="AB20" s="1" t="s">
        <v>46</v>
      </c>
      <c r="AC20" s="1" t="s">
        <v>46</v>
      </c>
      <c r="AD20" s="1" t="s">
        <v>46</v>
      </c>
      <c r="AE20" s="1" t="s">
        <v>126</v>
      </c>
      <c r="AF20" s="1" t="s">
        <v>92</v>
      </c>
      <c r="AG20" s="1" t="s">
        <v>46</v>
      </c>
      <c r="AH20" s="1" t="s">
        <v>46</v>
      </c>
      <c r="AI20" s="1" t="s">
        <v>46</v>
      </c>
      <c r="AJ20" s="1" t="s">
        <v>46</v>
      </c>
      <c r="AK20" s="3" t="s">
        <v>52</v>
      </c>
      <c r="AN20" s="27" t="s">
        <v>149</v>
      </c>
      <c r="AO20" s="30">
        <v>1000</v>
      </c>
      <c r="AP20" s="29"/>
    </row>
    <row r="21" customFormat="1" customHeight="1" spans="1:41">
      <c r="A21" s="1" t="s">
        <v>38</v>
      </c>
      <c r="B21" s="1" t="s">
        <v>39</v>
      </c>
      <c r="C21" s="1" t="s">
        <v>40</v>
      </c>
      <c r="D21" s="24">
        <v>45628</v>
      </c>
      <c r="E21" s="1" t="s">
        <v>142</v>
      </c>
      <c r="F21" s="1" t="s">
        <v>143</v>
      </c>
      <c r="G21" s="1" t="s">
        <v>86</v>
      </c>
      <c r="H21" s="1"/>
      <c r="I21" s="2">
        <v>4000</v>
      </c>
      <c r="J21" s="1">
        <v>7893689.07</v>
      </c>
      <c r="K21" s="1" t="s">
        <v>144</v>
      </c>
      <c r="L21" s="1" t="s">
        <v>145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98</v>
      </c>
      <c r="U21" s="1" t="s">
        <v>146</v>
      </c>
      <c r="V21" s="1" t="s">
        <v>46</v>
      </c>
      <c r="W21" s="1" t="s">
        <v>147</v>
      </c>
      <c r="X21" s="1" t="s">
        <v>46</v>
      </c>
      <c r="Y21" s="1" t="s">
        <v>46</v>
      </c>
      <c r="Z21" s="1" t="s">
        <v>46</v>
      </c>
      <c r="AA21" s="1" t="s">
        <v>46</v>
      </c>
      <c r="AB21" s="1" t="s">
        <v>46</v>
      </c>
      <c r="AC21" s="1" t="s">
        <v>46</v>
      </c>
      <c r="AD21" s="1" t="s">
        <v>46</v>
      </c>
      <c r="AE21" s="1" t="s">
        <v>148</v>
      </c>
      <c r="AF21" s="1" t="s">
        <v>92</v>
      </c>
      <c r="AG21" s="1" t="s">
        <v>46</v>
      </c>
      <c r="AH21" s="1" t="s">
        <v>46</v>
      </c>
      <c r="AI21" s="1" t="s">
        <v>46</v>
      </c>
      <c r="AJ21" s="1" t="s">
        <v>46</v>
      </c>
      <c r="AK21" s="3" t="s">
        <v>52</v>
      </c>
      <c r="AL21" s="28"/>
      <c r="AN21" s="27" t="s">
        <v>153</v>
      </c>
      <c r="AO21" s="30">
        <v>2947410.08</v>
      </c>
    </row>
    <row r="22" customHeight="1" spans="1:41">
      <c r="A22" s="1" t="s">
        <v>38</v>
      </c>
      <c r="B22" s="1" t="s">
        <v>39</v>
      </c>
      <c r="C22" s="1" t="s">
        <v>40</v>
      </c>
      <c r="D22" s="3" t="s">
        <v>63</v>
      </c>
      <c r="E22" s="1" t="s">
        <v>150</v>
      </c>
      <c r="F22" s="1" t="s">
        <v>63</v>
      </c>
      <c r="G22" s="1" t="s">
        <v>86</v>
      </c>
      <c r="I22" s="2">
        <v>4000</v>
      </c>
      <c r="J22" s="1">
        <v>7042174.23</v>
      </c>
      <c r="K22" s="1" t="s">
        <v>144</v>
      </c>
      <c r="L22" s="1" t="s">
        <v>151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98</v>
      </c>
      <c r="U22" s="1" t="s">
        <v>146</v>
      </c>
      <c r="V22" s="1" t="s">
        <v>46</v>
      </c>
      <c r="W22" s="1" t="s">
        <v>147</v>
      </c>
      <c r="X22" s="1" t="s">
        <v>46</v>
      </c>
      <c r="Y22" s="1" t="s">
        <v>46</v>
      </c>
      <c r="Z22" s="1" t="s">
        <v>46</v>
      </c>
      <c r="AA22" s="1" t="s">
        <v>46</v>
      </c>
      <c r="AB22" s="1" t="s">
        <v>46</v>
      </c>
      <c r="AC22" s="1" t="s">
        <v>46</v>
      </c>
      <c r="AD22" s="1" t="s">
        <v>46</v>
      </c>
      <c r="AE22" s="1" t="s">
        <v>152</v>
      </c>
      <c r="AF22" s="1" t="s">
        <v>92</v>
      </c>
      <c r="AG22" s="1" t="s">
        <v>46</v>
      </c>
      <c r="AH22" s="1" t="s">
        <v>46</v>
      </c>
      <c r="AI22" s="1" t="s">
        <v>46</v>
      </c>
      <c r="AJ22" s="1" t="s">
        <v>46</v>
      </c>
      <c r="AK22" s="3" t="s">
        <v>52</v>
      </c>
      <c r="AN22" s="27"/>
      <c r="AO22" s="30"/>
    </row>
    <row r="23" customHeight="1" spans="1:38">
      <c r="A23" s="1" t="s">
        <v>38</v>
      </c>
      <c r="B23" s="1" t="s">
        <v>39</v>
      </c>
      <c r="C23" s="1" t="s">
        <v>40</v>
      </c>
      <c r="D23" s="3" t="s">
        <v>53</v>
      </c>
      <c r="E23" s="1" t="s">
        <v>154</v>
      </c>
      <c r="F23" s="1" t="s">
        <v>53</v>
      </c>
      <c r="G23" s="1" t="s">
        <v>86</v>
      </c>
      <c r="H23" s="6"/>
      <c r="I23" s="2">
        <v>3000</v>
      </c>
      <c r="J23" s="6">
        <v>8043177.12</v>
      </c>
      <c r="K23" s="1" t="s">
        <v>44</v>
      </c>
      <c r="L23" s="1" t="s">
        <v>155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46</v>
      </c>
      <c r="T23" s="1" t="s">
        <v>128</v>
      </c>
      <c r="U23" s="1" t="s">
        <v>156</v>
      </c>
      <c r="V23" s="1" t="s">
        <v>46</v>
      </c>
      <c r="W23" s="1" t="s">
        <v>157</v>
      </c>
      <c r="X23" s="1" t="s">
        <v>46</v>
      </c>
      <c r="Y23" s="1" t="s">
        <v>46</v>
      </c>
      <c r="Z23" s="1" t="s">
        <v>46</v>
      </c>
      <c r="AA23" s="1" t="s">
        <v>46</v>
      </c>
      <c r="AB23" s="1" t="s">
        <v>46</v>
      </c>
      <c r="AC23" s="1" t="s">
        <v>46</v>
      </c>
      <c r="AD23" s="1" t="s">
        <v>46</v>
      </c>
      <c r="AE23" s="1" t="s">
        <v>158</v>
      </c>
      <c r="AF23" s="1" t="s">
        <v>92</v>
      </c>
      <c r="AG23" s="1" t="s">
        <v>46</v>
      </c>
      <c r="AH23" s="1" t="s">
        <v>46</v>
      </c>
      <c r="AI23" s="1" t="s">
        <v>46</v>
      </c>
      <c r="AJ23" s="1" t="s">
        <v>46</v>
      </c>
      <c r="AL23" s="17" t="s">
        <v>159</v>
      </c>
    </row>
    <row r="24" customHeight="1" spans="3:37">
      <c r="C24" s="1" t="s">
        <v>93</v>
      </c>
      <c r="D24" s="25">
        <v>45401</v>
      </c>
      <c r="I24" s="2">
        <v>3000</v>
      </c>
      <c r="K24" s="1" t="s">
        <v>44</v>
      </c>
      <c r="T24" s="1" t="s">
        <v>127</v>
      </c>
      <c r="AK24" s="3" t="s">
        <v>52</v>
      </c>
    </row>
    <row r="25" customHeight="1" spans="1:37">
      <c r="A25" s="1" t="s">
        <v>38</v>
      </c>
      <c r="B25" s="1" t="s">
        <v>39</v>
      </c>
      <c r="C25" s="1" t="s">
        <v>40</v>
      </c>
      <c r="D25" s="3" t="s">
        <v>164</v>
      </c>
      <c r="E25" s="1" t="s">
        <v>165</v>
      </c>
      <c r="F25" s="1" t="s">
        <v>164</v>
      </c>
      <c r="G25" s="1" t="s">
        <v>86</v>
      </c>
      <c r="H25" s="6"/>
      <c r="I25" s="2">
        <v>2100</v>
      </c>
      <c r="J25" s="6">
        <v>5278100.21</v>
      </c>
      <c r="K25" s="1" t="s">
        <v>136</v>
      </c>
      <c r="L25" s="1" t="s">
        <v>166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97</v>
      </c>
      <c r="U25" s="1" t="s">
        <v>167</v>
      </c>
      <c r="V25" s="1" t="s">
        <v>46</v>
      </c>
      <c r="W25" s="1" t="s">
        <v>139</v>
      </c>
      <c r="X25" s="1" t="s">
        <v>46</v>
      </c>
      <c r="Y25" s="1" t="s">
        <v>46</v>
      </c>
      <c r="Z25" s="1" t="s">
        <v>46</v>
      </c>
      <c r="AA25" s="1" t="s">
        <v>46</v>
      </c>
      <c r="AB25" s="1" t="s">
        <v>46</v>
      </c>
      <c r="AC25" s="1" t="s">
        <v>46</v>
      </c>
      <c r="AD25" s="1" t="s">
        <v>46</v>
      </c>
      <c r="AE25" s="1" t="s">
        <v>168</v>
      </c>
      <c r="AF25" s="1" t="s">
        <v>92</v>
      </c>
      <c r="AG25" s="1" t="s">
        <v>46</v>
      </c>
      <c r="AH25" s="1" t="s">
        <v>46</v>
      </c>
      <c r="AI25" s="1" t="s">
        <v>46</v>
      </c>
      <c r="AJ25" s="1" t="s">
        <v>46</v>
      </c>
      <c r="AK25" s="3" t="s">
        <v>52</v>
      </c>
    </row>
    <row r="26" customHeight="1" spans="1:37">
      <c r="A26" s="1" t="s">
        <v>38</v>
      </c>
      <c r="B26" s="1" t="s">
        <v>39</v>
      </c>
      <c r="C26" s="1" t="s">
        <v>40</v>
      </c>
      <c r="D26" s="3" t="s">
        <v>53</v>
      </c>
      <c r="E26" s="1" t="s">
        <v>169</v>
      </c>
      <c r="F26" s="1" t="s">
        <v>53</v>
      </c>
      <c r="G26" s="1" t="s">
        <v>43</v>
      </c>
      <c r="H26" s="6"/>
      <c r="I26" s="2">
        <v>2000</v>
      </c>
      <c r="J26" s="6">
        <v>8140928.19</v>
      </c>
      <c r="K26" s="1" t="s">
        <v>44</v>
      </c>
      <c r="L26" s="1" t="s">
        <v>170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133</v>
      </c>
      <c r="U26" s="1" t="s">
        <v>171</v>
      </c>
      <c r="V26" s="1" t="s">
        <v>46</v>
      </c>
      <c r="W26" s="1" t="s">
        <v>172</v>
      </c>
      <c r="X26" s="1" t="s">
        <v>46</v>
      </c>
      <c r="Y26" s="1" t="s">
        <v>46</v>
      </c>
      <c r="Z26" s="1" t="s">
        <v>46</v>
      </c>
      <c r="AA26" s="1" t="s">
        <v>46</v>
      </c>
      <c r="AB26" s="1" t="s">
        <v>46</v>
      </c>
      <c r="AC26" s="1" t="s">
        <v>46</v>
      </c>
      <c r="AD26" s="1" t="s">
        <v>46</v>
      </c>
      <c r="AE26" s="1" t="s">
        <v>173</v>
      </c>
      <c r="AF26" s="1" t="s">
        <v>51</v>
      </c>
      <c r="AG26" s="1" t="s">
        <v>46</v>
      </c>
      <c r="AH26" s="1" t="s">
        <v>46</v>
      </c>
      <c r="AI26" s="1" t="s">
        <v>46</v>
      </c>
      <c r="AJ26" s="1" t="s">
        <v>46</v>
      </c>
      <c r="AK26" s="3" t="s">
        <v>52</v>
      </c>
    </row>
    <row r="27" customHeight="1" spans="3:37">
      <c r="C27" s="1" t="s">
        <v>93</v>
      </c>
      <c r="D27" s="25">
        <v>45623</v>
      </c>
      <c r="I27" s="2">
        <v>1700</v>
      </c>
      <c r="K27" s="1" t="s">
        <v>44</v>
      </c>
      <c r="T27" s="1" t="s">
        <v>95</v>
      </c>
      <c r="AK27" s="3" t="s">
        <v>52</v>
      </c>
    </row>
    <row r="28" customHeight="1" spans="3:37">
      <c r="C28" s="1" t="s">
        <v>93</v>
      </c>
      <c r="D28" s="25">
        <v>45601</v>
      </c>
      <c r="I28" s="2">
        <v>1500</v>
      </c>
      <c r="K28" s="1" t="s">
        <v>44</v>
      </c>
      <c r="T28" s="1" t="s">
        <v>141</v>
      </c>
      <c r="AK28" s="3" t="s">
        <v>52</v>
      </c>
    </row>
    <row r="29" s="1" customFormat="1" customHeight="1" spans="1:41">
      <c r="A29" s="1" t="s">
        <v>38</v>
      </c>
      <c r="B29" s="1" t="s">
        <v>39</v>
      </c>
      <c r="C29" s="1" t="s">
        <v>40</v>
      </c>
      <c r="D29" s="3" t="s">
        <v>182</v>
      </c>
      <c r="E29" s="1" t="s">
        <v>183</v>
      </c>
      <c r="F29" s="1" t="s">
        <v>182</v>
      </c>
      <c r="G29" s="1" t="s">
        <v>86</v>
      </c>
      <c r="H29" s="6"/>
      <c r="I29" s="2">
        <v>1200</v>
      </c>
      <c r="J29" s="6">
        <v>3620787.59</v>
      </c>
      <c r="K29" s="1" t="s">
        <v>136</v>
      </c>
      <c r="L29" s="1" t="s">
        <v>184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97</v>
      </c>
      <c r="U29" s="1" t="s">
        <v>167</v>
      </c>
      <c r="V29" s="1" t="s">
        <v>46</v>
      </c>
      <c r="W29" s="1" t="s">
        <v>139</v>
      </c>
      <c r="X29" s="1" t="s">
        <v>46</v>
      </c>
      <c r="Y29" s="1" t="s">
        <v>46</v>
      </c>
      <c r="Z29" s="1" t="s">
        <v>46</v>
      </c>
      <c r="AA29" s="1" t="s">
        <v>46</v>
      </c>
      <c r="AB29" s="1" t="s">
        <v>46</v>
      </c>
      <c r="AC29" s="1" t="s">
        <v>46</v>
      </c>
      <c r="AD29" s="1" t="s">
        <v>46</v>
      </c>
      <c r="AE29" s="1" t="s">
        <v>185</v>
      </c>
      <c r="AF29" s="1" t="s">
        <v>92</v>
      </c>
      <c r="AG29" s="1" t="s">
        <v>46</v>
      </c>
      <c r="AH29" s="1" t="s">
        <v>46</v>
      </c>
      <c r="AI29" s="1" t="s">
        <v>46</v>
      </c>
      <c r="AJ29" s="1" t="s">
        <v>46</v>
      </c>
      <c r="AK29" s="3" t="s">
        <v>52</v>
      </c>
      <c r="AL29" s="17"/>
      <c r="AN29" s="20"/>
      <c r="AO29" s="21"/>
    </row>
    <row r="30" customHeight="1" spans="3:37">
      <c r="C30" s="1" t="s">
        <v>93</v>
      </c>
      <c r="D30" s="25">
        <v>45483</v>
      </c>
      <c r="I30" s="2">
        <v>1000</v>
      </c>
      <c r="K30" s="1" t="s">
        <v>44</v>
      </c>
      <c r="T30" s="1" t="s">
        <v>149</v>
      </c>
      <c r="AK30" s="3" t="s">
        <v>52</v>
      </c>
    </row>
    <row r="31" s="1" customFormat="1" customHeight="1" spans="3:41">
      <c r="C31" s="1" t="s">
        <v>93</v>
      </c>
      <c r="D31" s="25">
        <v>45423</v>
      </c>
      <c r="I31" s="2">
        <v>750</v>
      </c>
      <c r="K31" s="1" t="s">
        <v>44</v>
      </c>
      <c r="T31" s="1" t="s">
        <v>133</v>
      </c>
      <c r="AK31" s="3" t="s">
        <v>52</v>
      </c>
      <c r="AL31" s="17"/>
      <c r="AN31" s="20"/>
      <c r="AO31" s="21"/>
    </row>
    <row r="32" customHeight="1" spans="3:37">
      <c r="C32" s="1" t="s">
        <v>93</v>
      </c>
      <c r="D32" s="25">
        <v>45615</v>
      </c>
      <c r="I32" s="2">
        <v>180</v>
      </c>
      <c r="K32" s="1" t="s">
        <v>44</v>
      </c>
      <c r="T32" s="1" t="s">
        <v>95</v>
      </c>
      <c r="AK32" s="3" t="s">
        <v>52</v>
      </c>
    </row>
    <row r="33" customHeight="1" spans="3:9">
      <c r="C33" s="11" t="s">
        <v>250</v>
      </c>
      <c r="D33" s="11"/>
      <c r="E33" s="12"/>
      <c r="F33" s="12"/>
      <c r="G33" s="12"/>
      <c r="H33" s="12"/>
      <c r="I33" s="15">
        <f>SUBTOTAL(9,I2:I32)</f>
        <v>2947410.08</v>
      </c>
    </row>
  </sheetData>
  <autoFilter xmlns:etc="http://www.wps.cn/officeDocument/2017/etCustomData" ref="C1:AL32" etc:filterBottomFollowUsedRange="0">
    <extLst/>
  </autoFilter>
  <mergeCells count="1">
    <mergeCell ref="C33:D33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L56"/>
  <sheetViews>
    <sheetView topLeftCell="C1" workbookViewId="0">
      <selection activeCell="AM15" sqref="AM15"/>
    </sheetView>
  </sheetViews>
  <sheetFormatPr defaultColWidth="10.2857142857143" defaultRowHeight="18" customHeight="1"/>
  <cols>
    <col min="1" max="2" width="18" style="1" hidden="1" customWidth="1"/>
    <col min="3" max="3" width="16.2380952380952" style="1" customWidth="1"/>
    <col min="4" max="4" width="18" style="1" customWidth="1"/>
    <col min="5" max="8" width="18" style="1" hidden="1" customWidth="1"/>
    <col min="9" max="9" width="18" style="2" customWidth="1"/>
    <col min="10" max="10" width="18" style="1" hidden="1" customWidth="1"/>
    <col min="11" max="11" width="14.4285714285714" style="1" customWidth="1"/>
    <col min="12" max="19" width="18" style="1" hidden="1" customWidth="1"/>
    <col min="20" max="20" width="43.1428571428571" style="1" customWidth="1"/>
    <col min="21" max="36" width="18" style="1" hidden="1" customWidth="1"/>
    <col min="37" max="37" width="14" style="3" customWidth="1"/>
    <col min="38" max="38" width="17.2190476190476" style="1" customWidth="1"/>
    <col min="39" max="16384" width="10.2857142857143" style="1"/>
  </cols>
  <sheetData>
    <row r="2" s="1" customFormat="1" ht="26" customHeight="1" spans="1:38">
      <c r="A2" s="4" t="s">
        <v>0</v>
      </c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13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16" t="s">
        <v>20</v>
      </c>
      <c r="V2" s="16" t="s">
        <v>21</v>
      </c>
      <c r="W2" s="16" t="s">
        <v>22</v>
      </c>
      <c r="X2" s="16" t="s">
        <v>23</v>
      </c>
      <c r="Y2" s="16" t="s">
        <v>24</v>
      </c>
      <c r="Z2" s="16" t="s">
        <v>25</v>
      </c>
      <c r="AA2" s="16" t="s">
        <v>26</v>
      </c>
      <c r="AB2" s="16" t="s">
        <v>27</v>
      </c>
      <c r="AC2" s="16" t="s">
        <v>28</v>
      </c>
      <c r="AD2" s="16" t="s">
        <v>29</v>
      </c>
      <c r="AE2" s="16" t="s">
        <v>30</v>
      </c>
      <c r="AF2" s="16" t="s">
        <v>31</v>
      </c>
      <c r="AG2" s="16" t="s">
        <v>32</v>
      </c>
      <c r="AH2" s="16" t="s">
        <v>33</v>
      </c>
      <c r="AI2" s="16" t="s">
        <v>34</v>
      </c>
      <c r="AJ2" s="16" t="s">
        <v>35</v>
      </c>
      <c r="AK2" s="18" t="s">
        <v>36</v>
      </c>
      <c r="AL2" s="18" t="s">
        <v>37</v>
      </c>
    </row>
    <row r="3" s="1" customFormat="1" customHeight="1" spans="1:37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41</v>
      </c>
      <c r="G3" s="1" t="s">
        <v>43</v>
      </c>
      <c r="I3" s="2">
        <v>1696000</v>
      </c>
      <c r="J3" s="1">
        <v>9066097.41</v>
      </c>
      <c r="K3" s="1" t="s">
        <v>44</v>
      </c>
      <c r="L3" s="1" t="s">
        <v>45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 t="s">
        <v>46</v>
      </c>
      <c r="T3" s="1" t="s">
        <v>47</v>
      </c>
      <c r="U3" s="1" t="s">
        <v>48</v>
      </c>
      <c r="V3" s="1" t="s">
        <v>46</v>
      </c>
      <c r="W3" s="1" t="s">
        <v>49</v>
      </c>
      <c r="X3" s="1" t="s">
        <v>46</v>
      </c>
      <c r="Y3" s="1" t="s">
        <v>46</v>
      </c>
      <c r="Z3" s="1" t="s">
        <v>46</v>
      </c>
      <c r="AA3" s="1" t="s">
        <v>46</v>
      </c>
      <c r="AB3" s="1" t="s">
        <v>46</v>
      </c>
      <c r="AC3" s="1" t="s">
        <v>46</v>
      </c>
      <c r="AD3" s="1" t="s">
        <v>46</v>
      </c>
      <c r="AE3" s="1" t="s">
        <v>50</v>
      </c>
      <c r="AF3" s="1" t="s">
        <v>51</v>
      </c>
      <c r="AG3" s="1" t="s">
        <v>46</v>
      </c>
      <c r="AH3" s="1" t="s">
        <v>46</v>
      </c>
      <c r="AI3" s="1" t="s">
        <v>46</v>
      </c>
      <c r="AJ3" s="1" t="s">
        <v>46</v>
      </c>
      <c r="AK3" s="3" t="s">
        <v>52</v>
      </c>
    </row>
    <row r="4" s="1" customFormat="1" customHeight="1" spans="1:37">
      <c r="A4" s="1" t="s">
        <v>38</v>
      </c>
      <c r="B4" s="1" t="s">
        <v>39</v>
      </c>
      <c r="C4" s="1" t="s">
        <v>40</v>
      </c>
      <c r="D4" s="1" t="s">
        <v>53</v>
      </c>
      <c r="E4" s="1" t="s">
        <v>54</v>
      </c>
      <c r="F4" s="1" t="s">
        <v>53</v>
      </c>
      <c r="G4" s="1" t="s">
        <v>43</v>
      </c>
      <c r="H4" s="6"/>
      <c r="I4" s="2">
        <v>430000</v>
      </c>
      <c r="J4" s="6">
        <v>8138928.19</v>
      </c>
      <c r="K4" s="1" t="s">
        <v>44</v>
      </c>
      <c r="L4" s="1" t="s">
        <v>55</v>
      </c>
      <c r="M4" s="1" t="s">
        <v>56</v>
      </c>
      <c r="N4" s="1" t="s">
        <v>57</v>
      </c>
      <c r="O4" s="1" t="s">
        <v>46</v>
      </c>
      <c r="P4" s="1" t="s">
        <v>58</v>
      </c>
      <c r="Q4" s="1" t="s">
        <v>46</v>
      </c>
      <c r="R4" s="1" t="s">
        <v>46</v>
      </c>
      <c r="S4" s="1" t="s">
        <v>46</v>
      </c>
      <c r="T4" s="1" t="s">
        <v>47</v>
      </c>
      <c r="U4" s="1" t="s">
        <v>59</v>
      </c>
      <c r="V4" s="1" t="s">
        <v>46</v>
      </c>
      <c r="W4" s="1" t="s">
        <v>60</v>
      </c>
      <c r="X4" s="1" t="s">
        <v>61</v>
      </c>
      <c r="Y4" s="1" t="s">
        <v>46</v>
      </c>
      <c r="Z4" s="1" t="s">
        <v>46</v>
      </c>
      <c r="AA4" s="1" t="s">
        <v>46</v>
      </c>
      <c r="AB4" s="1" t="s">
        <v>46</v>
      </c>
      <c r="AC4" s="1" t="s">
        <v>46</v>
      </c>
      <c r="AD4" s="1" t="s">
        <v>46</v>
      </c>
      <c r="AE4" s="1" t="s">
        <v>62</v>
      </c>
      <c r="AF4" s="1" t="s">
        <v>51</v>
      </c>
      <c r="AG4" s="1" t="s">
        <v>46</v>
      </c>
      <c r="AH4" s="1" t="s">
        <v>46</v>
      </c>
      <c r="AI4" s="1" t="s">
        <v>46</v>
      </c>
      <c r="AJ4" s="1" t="s">
        <v>46</v>
      </c>
      <c r="AK4" s="3" t="s">
        <v>52</v>
      </c>
    </row>
    <row r="5" s="1" customFormat="1" customHeight="1" spans="1:38">
      <c r="A5" s="1" t="s">
        <v>38</v>
      </c>
      <c r="B5" s="1" t="s">
        <v>39</v>
      </c>
      <c r="C5" s="7" t="s">
        <v>40</v>
      </c>
      <c r="D5" s="7" t="s">
        <v>63</v>
      </c>
      <c r="E5" s="7" t="s">
        <v>64</v>
      </c>
      <c r="F5" s="7" t="s">
        <v>63</v>
      </c>
      <c r="G5" s="7" t="s">
        <v>43</v>
      </c>
      <c r="H5" s="7"/>
      <c r="I5" s="14">
        <v>300000</v>
      </c>
      <c r="J5" s="7">
        <v>7342174.23</v>
      </c>
      <c r="K5" s="7" t="s">
        <v>44</v>
      </c>
      <c r="L5" s="7" t="s">
        <v>65</v>
      </c>
      <c r="M5" s="7" t="s">
        <v>46</v>
      </c>
      <c r="N5" s="7" t="s">
        <v>46</v>
      </c>
      <c r="O5" s="7" t="s">
        <v>46</v>
      </c>
      <c r="P5" s="7" t="s">
        <v>46</v>
      </c>
      <c r="Q5" s="7" t="s">
        <v>46</v>
      </c>
      <c r="R5" s="7" t="s">
        <v>46</v>
      </c>
      <c r="S5" s="7" t="s">
        <v>46</v>
      </c>
      <c r="T5" s="7" t="s">
        <v>66</v>
      </c>
      <c r="U5" s="1" t="s">
        <v>67</v>
      </c>
      <c r="V5" s="1" t="s">
        <v>46</v>
      </c>
      <c r="W5" s="1" t="s">
        <v>68</v>
      </c>
      <c r="X5" s="1" t="s">
        <v>46</v>
      </c>
      <c r="Y5" s="1" t="s">
        <v>46</v>
      </c>
      <c r="Z5" s="1" t="s">
        <v>46</v>
      </c>
      <c r="AA5" s="1" t="s">
        <v>46</v>
      </c>
      <c r="AB5" s="1" t="s">
        <v>46</v>
      </c>
      <c r="AC5" s="1" t="s">
        <v>46</v>
      </c>
      <c r="AD5" s="1" t="s">
        <v>46</v>
      </c>
      <c r="AE5" s="1" t="s">
        <v>69</v>
      </c>
      <c r="AF5" s="1" t="s">
        <v>51</v>
      </c>
      <c r="AG5" s="1" t="s">
        <v>46</v>
      </c>
      <c r="AH5" s="1" t="s">
        <v>46</v>
      </c>
      <c r="AI5" s="1" t="s">
        <v>46</v>
      </c>
      <c r="AJ5" s="1" t="s">
        <v>46</v>
      </c>
      <c r="AK5" s="3" t="s">
        <v>52</v>
      </c>
      <c r="AL5" s="19" t="s">
        <v>251</v>
      </c>
    </row>
    <row r="6" s="1" customFormat="1" customHeight="1" spans="1:38">
      <c r="A6" s="1" t="s">
        <v>38</v>
      </c>
      <c r="B6" s="1" t="s">
        <v>39</v>
      </c>
      <c r="C6" s="7" t="s">
        <v>40</v>
      </c>
      <c r="D6" s="7" t="s">
        <v>72</v>
      </c>
      <c r="E6" s="7" t="s">
        <v>73</v>
      </c>
      <c r="F6" s="7" t="s">
        <v>72</v>
      </c>
      <c r="G6" s="7" t="s">
        <v>43</v>
      </c>
      <c r="H6" s="7"/>
      <c r="I6" s="14">
        <v>190000</v>
      </c>
      <c r="J6" s="7">
        <v>6928174.23</v>
      </c>
      <c r="K6" s="7" t="s">
        <v>44</v>
      </c>
      <c r="L6" s="7" t="s">
        <v>74</v>
      </c>
      <c r="M6" s="7" t="s">
        <v>46</v>
      </c>
      <c r="N6" s="7" t="s">
        <v>46</v>
      </c>
      <c r="O6" s="7" t="s">
        <v>46</v>
      </c>
      <c r="P6" s="7" t="s">
        <v>46</v>
      </c>
      <c r="Q6" s="7" t="s">
        <v>46</v>
      </c>
      <c r="R6" s="7" t="s">
        <v>46</v>
      </c>
      <c r="S6" s="7" t="s">
        <v>46</v>
      </c>
      <c r="T6" s="7" t="s">
        <v>75</v>
      </c>
      <c r="U6" s="1" t="s">
        <v>76</v>
      </c>
      <c r="V6" s="1" t="s">
        <v>46</v>
      </c>
      <c r="W6" s="1" t="s">
        <v>68</v>
      </c>
      <c r="X6" s="1" t="s">
        <v>46</v>
      </c>
      <c r="Y6" s="1" t="s">
        <v>46</v>
      </c>
      <c r="Z6" s="1" t="s">
        <v>46</v>
      </c>
      <c r="AA6" s="1" t="s">
        <v>46</v>
      </c>
      <c r="AB6" s="1" t="s">
        <v>46</v>
      </c>
      <c r="AC6" s="1" t="s">
        <v>46</v>
      </c>
      <c r="AD6" s="1" t="s">
        <v>46</v>
      </c>
      <c r="AE6" s="1" t="s">
        <v>77</v>
      </c>
      <c r="AF6" s="1" t="s">
        <v>51</v>
      </c>
      <c r="AG6" s="1" t="s">
        <v>46</v>
      </c>
      <c r="AH6" s="1" t="s">
        <v>46</v>
      </c>
      <c r="AI6" s="1" t="s">
        <v>46</v>
      </c>
      <c r="AJ6" s="1" t="s">
        <v>46</v>
      </c>
      <c r="AK6" s="3"/>
      <c r="AL6" s="1" t="s">
        <v>78</v>
      </c>
    </row>
    <row r="7" s="1" customFormat="1" customHeight="1" spans="1:38">
      <c r="A7" s="1" t="s">
        <v>38</v>
      </c>
      <c r="B7" s="1" t="s">
        <v>39</v>
      </c>
      <c r="C7" s="7" t="s">
        <v>40</v>
      </c>
      <c r="D7" s="7" t="s">
        <v>79</v>
      </c>
      <c r="E7" s="7" t="s">
        <v>80</v>
      </c>
      <c r="F7" s="7" t="s">
        <v>79</v>
      </c>
      <c r="G7" s="7" t="s">
        <v>43</v>
      </c>
      <c r="H7" s="7"/>
      <c r="I7" s="14">
        <v>110000</v>
      </c>
      <c r="J7" s="7">
        <v>7038174.23</v>
      </c>
      <c r="K7" s="7" t="s">
        <v>44</v>
      </c>
      <c r="L7" s="7" t="s">
        <v>81</v>
      </c>
      <c r="M7" s="7" t="s">
        <v>46</v>
      </c>
      <c r="N7" s="7" t="s">
        <v>46</v>
      </c>
      <c r="O7" s="7" t="s">
        <v>46</v>
      </c>
      <c r="P7" s="7" t="s">
        <v>46</v>
      </c>
      <c r="Q7" s="7" t="s">
        <v>46</v>
      </c>
      <c r="R7" s="7" t="s">
        <v>46</v>
      </c>
      <c r="S7" s="7" t="s">
        <v>46</v>
      </c>
      <c r="T7" s="7" t="s">
        <v>75</v>
      </c>
      <c r="U7" s="1" t="s">
        <v>76</v>
      </c>
      <c r="V7" s="1" t="s">
        <v>46</v>
      </c>
      <c r="W7" s="1" t="s">
        <v>68</v>
      </c>
      <c r="X7" s="1" t="s">
        <v>46</v>
      </c>
      <c r="Y7" s="1" t="s">
        <v>46</v>
      </c>
      <c r="Z7" s="1" t="s">
        <v>46</v>
      </c>
      <c r="AA7" s="1" t="s">
        <v>46</v>
      </c>
      <c r="AB7" s="1" t="s">
        <v>46</v>
      </c>
      <c r="AC7" s="1" t="s">
        <v>46</v>
      </c>
      <c r="AD7" s="1" t="s">
        <v>46</v>
      </c>
      <c r="AE7" s="1" t="s">
        <v>82</v>
      </c>
      <c r="AF7" s="1" t="s">
        <v>51</v>
      </c>
      <c r="AG7" s="1" t="s">
        <v>46</v>
      </c>
      <c r="AH7" s="1" t="s">
        <v>46</v>
      </c>
      <c r="AI7" s="1" t="s">
        <v>46</v>
      </c>
      <c r="AJ7" s="1" t="s">
        <v>46</v>
      </c>
      <c r="AK7" s="3"/>
      <c r="AL7" s="1" t="s">
        <v>78</v>
      </c>
    </row>
    <row r="8" s="1" customFormat="1" customHeight="1" spans="1:37">
      <c r="A8" s="1" t="s">
        <v>38</v>
      </c>
      <c r="B8" s="1" t="s">
        <v>39</v>
      </c>
      <c r="C8" s="1" t="s">
        <v>40</v>
      </c>
      <c r="D8" s="1" t="s">
        <v>84</v>
      </c>
      <c r="E8" s="1" t="s">
        <v>85</v>
      </c>
      <c r="F8" s="1" t="s">
        <v>84</v>
      </c>
      <c r="G8" s="1" t="s">
        <v>86</v>
      </c>
      <c r="H8" s="6"/>
      <c r="I8" s="2">
        <v>50000</v>
      </c>
      <c r="J8" s="6">
        <v>5139125.58</v>
      </c>
      <c r="K8" s="1" t="s">
        <v>44</v>
      </c>
      <c r="L8" s="1" t="s">
        <v>87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46</v>
      </c>
      <c r="T8" s="1" t="s">
        <v>88</v>
      </c>
      <c r="U8" s="1" t="s">
        <v>89</v>
      </c>
      <c r="V8" s="1" t="s">
        <v>46</v>
      </c>
      <c r="W8" s="1" t="s">
        <v>90</v>
      </c>
      <c r="X8" s="1" t="s">
        <v>46</v>
      </c>
      <c r="Y8" s="1" t="s">
        <v>46</v>
      </c>
      <c r="Z8" s="1" t="s">
        <v>46</v>
      </c>
      <c r="AA8" s="1" t="s">
        <v>46</v>
      </c>
      <c r="AB8" s="1" t="s">
        <v>46</v>
      </c>
      <c r="AC8" s="1" t="s">
        <v>46</v>
      </c>
      <c r="AD8" s="1" t="s">
        <v>46</v>
      </c>
      <c r="AE8" s="1" t="s">
        <v>91</v>
      </c>
      <c r="AF8" s="1" t="s">
        <v>92</v>
      </c>
      <c r="AG8" s="1" t="s">
        <v>46</v>
      </c>
      <c r="AH8" s="1" t="s">
        <v>46</v>
      </c>
      <c r="AI8" s="1" t="s">
        <v>46</v>
      </c>
      <c r="AJ8" s="1" t="s">
        <v>46</v>
      </c>
      <c r="AK8" s="3" t="s">
        <v>52</v>
      </c>
    </row>
    <row r="9" s="1" customFormat="1" customHeight="1" spans="3:37">
      <c r="C9" s="7" t="s">
        <v>93</v>
      </c>
      <c r="D9" s="8">
        <v>45412</v>
      </c>
      <c r="E9" s="7"/>
      <c r="F9" s="7"/>
      <c r="G9" s="7"/>
      <c r="H9" s="7"/>
      <c r="I9" s="14">
        <v>42000</v>
      </c>
      <c r="J9" s="7"/>
      <c r="K9" s="7" t="s">
        <v>44</v>
      </c>
      <c r="L9" s="7"/>
      <c r="M9" s="7"/>
      <c r="N9" s="7"/>
      <c r="O9" s="7"/>
      <c r="P9" s="7"/>
      <c r="Q9" s="7"/>
      <c r="R9" s="7"/>
      <c r="S9" s="7"/>
      <c r="T9" s="7" t="s">
        <v>94</v>
      </c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3" t="s">
        <v>52</v>
      </c>
    </row>
    <row r="10" s="1" customFormat="1" customHeight="1" spans="3:37">
      <c r="C10" s="1" t="s">
        <v>93</v>
      </c>
      <c r="D10" s="9">
        <v>45623</v>
      </c>
      <c r="I10" s="2">
        <v>13600</v>
      </c>
      <c r="K10" s="1" t="s">
        <v>44</v>
      </c>
      <c r="T10" s="1" t="s">
        <v>95</v>
      </c>
      <c r="AK10" s="3" t="s">
        <v>52</v>
      </c>
    </row>
    <row r="11" s="1" customFormat="1" customHeight="1" spans="3:37">
      <c r="C11" s="1" t="s">
        <v>93</v>
      </c>
      <c r="D11" s="9">
        <v>45531</v>
      </c>
      <c r="I11" s="2">
        <v>12260.08</v>
      </c>
      <c r="K11" s="1" t="s">
        <v>44</v>
      </c>
      <c r="T11" s="1" t="s">
        <v>96</v>
      </c>
      <c r="AK11" s="3" t="s">
        <v>52</v>
      </c>
    </row>
    <row r="12" s="1" customFormat="1" customHeight="1" spans="3:37">
      <c r="C12" s="1" t="s">
        <v>93</v>
      </c>
      <c r="D12" s="9">
        <v>45629</v>
      </c>
      <c r="I12" s="2">
        <v>10200</v>
      </c>
      <c r="K12" s="1" t="s">
        <v>44</v>
      </c>
      <c r="T12" s="1" t="s">
        <v>95</v>
      </c>
      <c r="AK12" s="3" t="s">
        <v>52</v>
      </c>
    </row>
    <row r="13" s="1" customFormat="1" customHeight="1" spans="3:37">
      <c r="C13" s="1" t="s">
        <v>93</v>
      </c>
      <c r="D13" s="9">
        <v>45675</v>
      </c>
      <c r="I13" s="2">
        <v>10200</v>
      </c>
      <c r="K13" s="1" t="s">
        <v>44</v>
      </c>
      <c r="T13" s="1" t="s">
        <v>95</v>
      </c>
      <c r="AK13" s="3" t="s">
        <v>52</v>
      </c>
    </row>
    <row r="14" s="1" customFormat="1" customHeight="1" spans="3:37">
      <c r="C14" s="1" t="s">
        <v>93</v>
      </c>
      <c r="D14" s="9">
        <v>45695</v>
      </c>
      <c r="I14" s="2">
        <v>10200</v>
      </c>
      <c r="K14" s="1" t="s">
        <v>44</v>
      </c>
      <c r="T14" s="1" t="s">
        <v>95</v>
      </c>
      <c r="AK14" s="3" t="s">
        <v>52</v>
      </c>
    </row>
    <row r="15" s="1" customFormat="1" customHeight="1" spans="3:37">
      <c r="C15" s="1" t="s">
        <v>93</v>
      </c>
      <c r="D15" s="9">
        <v>45615</v>
      </c>
      <c r="I15" s="2">
        <v>10020</v>
      </c>
      <c r="K15" s="1" t="s">
        <v>44</v>
      </c>
      <c r="T15" s="1" t="s">
        <v>95</v>
      </c>
      <c r="AK15" s="3" t="s">
        <v>52</v>
      </c>
    </row>
    <row r="16" s="1" customFormat="1" customHeight="1" spans="3:37">
      <c r="C16" s="1" t="s">
        <v>93</v>
      </c>
      <c r="D16" s="10">
        <v>45657</v>
      </c>
      <c r="I16" s="2">
        <v>9600</v>
      </c>
      <c r="K16" s="1" t="s">
        <v>44</v>
      </c>
      <c r="T16" s="1" t="s">
        <v>99</v>
      </c>
      <c r="AK16" s="3" t="s">
        <v>52</v>
      </c>
    </row>
    <row r="17" s="1" customFormat="1" customHeight="1" spans="3:37">
      <c r="C17" s="1" t="s">
        <v>93</v>
      </c>
      <c r="D17" s="9">
        <v>45530</v>
      </c>
      <c r="I17" s="2">
        <v>9000</v>
      </c>
      <c r="K17" s="1" t="s">
        <v>44</v>
      </c>
      <c r="T17" s="1" t="s">
        <v>101</v>
      </c>
      <c r="AK17" s="3" t="s">
        <v>52</v>
      </c>
    </row>
    <row r="18" s="1" customFormat="1" customHeight="1" spans="3:38">
      <c r="C18" s="7" t="s">
        <v>93</v>
      </c>
      <c r="D18" s="8">
        <v>45412</v>
      </c>
      <c r="E18" s="7"/>
      <c r="F18" s="7"/>
      <c r="G18" s="7"/>
      <c r="H18" s="7"/>
      <c r="I18" s="14">
        <v>8000</v>
      </c>
      <c r="J18" s="7"/>
      <c r="K18" s="7" t="s">
        <v>44</v>
      </c>
      <c r="L18" s="7"/>
      <c r="M18" s="7"/>
      <c r="N18" s="7"/>
      <c r="O18" s="7"/>
      <c r="P18" s="7"/>
      <c r="Q18" s="7"/>
      <c r="R18" s="7"/>
      <c r="S18" s="7"/>
      <c r="T18" s="7" t="s">
        <v>94</v>
      </c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3"/>
      <c r="AL18" s="1" t="s">
        <v>102</v>
      </c>
    </row>
    <row r="19" s="1" customFormat="1" customHeight="1" spans="1:38">
      <c r="A19" s="1" t="s">
        <v>38</v>
      </c>
      <c r="B19" s="1" t="s">
        <v>39</v>
      </c>
      <c r="C19" s="1" t="s">
        <v>40</v>
      </c>
      <c r="D19" s="10" t="s">
        <v>104</v>
      </c>
      <c r="E19" s="1" t="s">
        <v>105</v>
      </c>
      <c r="F19" s="1" t="s">
        <v>104</v>
      </c>
      <c r="G19" s="1" t="s">
        <v>43</v>
      </c>
      <c r="I19" s="2">
        <v>7500</v>
      </c>
      <c r="J19" s="1">
        <v>6917571.47</v>
      </c>
      <c r="K19" s="1" t="s">
        <v>44</v>
      </c>
      <c r="L19" s="1" t="s">
        <v>106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107</v>
      </c>
      <c r="U19" s="1" t="s">
        <v>108</v>
      </c>
      <c r="V19" s="1" t="s">
        <v>46</v>
      </c>
      <c r="W19" s="1" t="s">
        <v>109</v>
      </c>
      <c r="X19" s="1" t="s">
        <v>46</v>
      </c>
      <c r="Y19" s="1" t="s">
        <v>46</v>
      </c>
      <c r="Z19" s="1" t="s">
        <v>46</v>
      </c>
      <c r="AA19" s="1" t="s">
        <v>46</v>
      </c>
      <c r="AB19" s="1" t="s">
        <v>46</v>
      </c>
      <c r="AC19" s="1" t="s">
        <v>46</v>
      </c>
      <c r="AD19" s="1" t="s">
        <v>46</v>
      </c>
      <c r="AE19" s="1" t="s">
        <v>110</v>
      </c>
      <c r="AF19" s="1" t="s">
        <v>51</v>
      </c>
      <c r="AG19" s="1" t="s">
        <v>46</v>
      </c>
      <c r="AH19" s="1" t="s">
        <v>46</v>
      </c>
      <c r="AI19" s="1" t="s">
        <v>46</v>
      </c>
      <c r="AJ19" s="1" t="s">
        <v>46</v>
      </c>
      <c r="AK19" s="3" t="s">
        <v>52</v>
      </c>
      <c r="AL19"/>
    </row>
    <row r="20" s="1" customFormat="1" customHeight="1" spans="3:37">
      <c r="C20" s="1" t="s">
        <v>93</v>
      </c>
      <c r="D20" s="9">
        <v>45597</v>
      </c>
      <c r="I20" s="2">
        <v>6800</v>
      </c>
      <c r="K20" s="1" t="s">
        <v>44</v>
      </c>
      <c r="T20" s="1" t="s">
        <v>95</v>
      </c>
      <c r="AK20" s="3" t="s">
        <v>52</v>
      </c>
    </row>
    <row r="21" s="1" customFormat="1" customHeight="1" spans="1:37">
      <c r="A21" s="1" t="s">
        <v>38</v>
      </c>
      <c r="B21" s="1" t="s">
        <v>39</v>
      </c>
      <c r="C21" s="1" t="s">
        <v>40</v>
      </c>
      <c r="D21" s="1" t="s">
        <v>111</v>
      </c>
      <c r="E21" s="1" t="s">
        <v>112</v>
      </c>
      <c r="F21" s="1" t="s">
        <v>111</v>
      </c>
      <c r="G21" s="1" t="s">
        <v>86</v>
      </c>
      <c r="H21" s="6"/>
      <c r="I21" s="2">
        <v>6000</v>
      </c>
      <c r="J21" s="6">
        <v>12032417.84</v>
      </c>
      <c r="K21" s="1" t="s">
        <v>44</v>
      </c>
      <c r="L21" s="1" t="s">
        <v>113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97</v>
      </c>
      <c r="U21" s="1" t="s">
        <v>114</v>
      </c>
      <c r="V21" s="1" t="s">
        <v>46</v>
      </c>
      <c r="W21" s="1" t="s">
        <v>115</v>
      </c>
      <c r="X21" s="1" t="s">
        <v>46</v>
      </c>
      <c r="Y21" s="1" t="s">
        <v>46</v>
      </c>
      <c r="Z21" s="1" t="s">
        <v>46</v>
      </c>
      <c r="AA21" s="1" t="s">
        <v>46</v>
      </c>
      <c r="AB21" s="1" t="s">
        <v>46</v>
      </c>
      <c r="AC21" s="1" t="s">
        <v>46</v>
      </c>
      <c r="AD21" s="1" t="s">
        <v>46</v>
      </c>
      <c r="AE21" s="1" t="s">
        <v>116</v>
      </c>
      <c r="AF21" s="1" t="s">
        <v>92</v>
      </c>
      <c r="AG21" s="1" t="s">
        <v>46</v>
      </c>
      <c r="AH21" s="1" t="s">
        <v>46</v>
      </c>
      <c r="AI21" s="1" t="s">
        <v>46</v>
      </c>
      <c r="AJ21" s="1" t="s">
        <v>46</v>
      </c>
      <c r="AK21" s="3" t="s">
        <v>52</v>
      </c>
    </row>
    <row r="22" s="1" customFormat="1" customHeight="1" spans="1:37">
      <c r="A22" s="1" t="s">
        <v>38</v>
      </c>
      <c r="B22" s="1" t="s">
        <v>39</v>
      </c>
      <c r="C22" s="1" t="s">
        <v>40</v>
      </c>
      <c r="D22" s="1" t="s">
        <v>118</v>
      </c>
      <c r="E22" s="1" t="s">
        <v>119</v>
      </c>
      <c r="F22" s="1" t="s">
        <v>118</v>
      </c>
      <c r="G22" s="1" t="s">
        <v>86</v>
      </c>
      <c r="H22" s="6"/>
      <c r="I22" s="2">
        <v>6000</v>
      </c>
      <c r="J22" s="6">
        <v>14741661.84</v>
      </c>
      <c r="K22" s="1" t="s">
        <v>44</v>
      </c>
      <c r="L22" s="1" t="s">
        <v>120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97</v>
      </c>
      <c r="U22" s="1" t="s">
        <v>114</v>
      </c>
      <c r="V22" s="1" t="s">
        <v>46</v>
      </c>
      <c r="W22" s="1" t="s">
        <v>115</v>
      </c>
      <c r="X22" s="1" t="s">
        <v>46</v>
      </c>
      <c r="Y22" s="1" t="s">
        <v>46</v>
      </c>
      <c r="Z22" s="1" t="s">
        <v>46</v>
      </c>
      <c r="AA22" s="1" t="s">
        <v>46</v>
      </c>
      <c r="AB22" s="1" t="s">
        <v>46</v>
      </c>
      <c r="AC22" s="1" t="s">
        <v>46</v>
      </c>
      <c r="AD22" s="1" t="s">
        <v>46</v>
      </c>
      <c r="AE22" s="1" t="s">
        <v>121</v>
      </c>
      <c r="AF22" s="1" t="s">
        <v>92</v>
      </c>
      <c r="AG22" s="1" t="s">
        <v>46</v>
      </c>
      <c r="AH22" s="1" t="s">
        <v>46</v>
      </c>
      <c r="AI22" s="1" t="s">
        <v>46</v>
      </c>
      <c r="AJ22" s="1" t="s">
        <v>46</v>
      </c>
      <c r="AK22" s="3" t="s">
        <v>52</v>
      </c>
    </row>
    <row r="23" s="1" customFormat="1" customHeight="1" spans="1:37">
      <c r="A23" s="1" t="s">
        <v>38</v>
      </c>
      <c r="B23" s="1" t="s">
        <v>39</v>
      </c>
      <c r="C23" s="1" t="s">
        <v>40</v>
      </c>
      <c r="D23" s="1" t="s">
        <v>123</v>
      </c>
      <c r="E23" s="1" t="s">
        <v>124</v>
      </c>
      <c r="F23" s="1" t="s">
        <v>123</v>
      </c>
      <c r="G23" s="1" t="s">
        <v>86</v>
      </c>
      <c r="H23" s="6"/>
      <c r="I23" s="2">
        <v>6000</v>
      </c>
      <c r="J23" s="6">
        <v>13683438.24</v>
      </c>
      <c r="K23" s="1" t="s">
        <v>44</v>
      </c>
      <c r="L23" s="1" t="s">
        <v>125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46</v>
      </c>
      <c r="T23" s="1" t="s">
        <v>97</v>
      </c>
      <c r="U23" s="1" t="s">
        <v>114</v>
      </c>
      <c r="V23" s="1" t="s">
        <v>46</v>
      </c>
      <c r="W23" s="1" t="s">
        <v>115</v>
      </c>
      <c r="X23" s="1" t="s">
        <v>46</v>
      </c>
      <c r="Y23" s="1" t="s">
        <v>46</v>
      </c>
      <c r="Z23" s="1" t="s">
        <v>46</v>
      </c>
      <c r="AA23" s="1" t="s">
        <v>46</v>
      </c>
      <c r="AB23" s="1" t="s">
        <v>46</v>
      </c>
      <c r="AC23" s="1" t="s">
        <v>46</v>
      </c>
      <c r="AD23" s="1" t="s">
        <v>46</v>
      </c>
      <c r="AE23" s="1" t="s">
        <v>126</v>
      </c>
      <c r="AF23" s="1" t="s">
        <v>92</v>
      </c>
      <c r="AG23" s="1" t="s">
        <v>46</v>
      </c>
      <c r="AH23" s="1" t="s">
        <v>46</v>
      </c>
      <c r="AI23" s="1" t="s">
        <v>46</v>
      </c>
      <c r="AJ23" s="1" t="s">
        <v>46</v>
      </c>
      <c r="AK23" s="3" t="s">
        <v>52</v>
      </c>
    </row>
    <row r="24" s="1" customFormat="1" customHeight="1" spans="3:37">
      <c r="C24" s="1" t="s">
        <v>93</v>
      </c>
      <c r="D24" s="9">
        <v>45672</v>
      </c>
      <c r="I24" s="2">
        <v>6000</v>
      </c>
      <c r="K24" s="1" t="s">
        <v>44</v>
      </c>
      <c r="T24" s="1" t="s">
        <v>100</v>
      </c>
      <c r="AK24" s="3" t="s">
        <v>52</v>
      </c>
    </row>
    <row r="25" s="1" customFormat="1" customHeight="1" spans="1:37">
      <c r="A25" s="1" t="s">
        <v>38</v>
      </c>
      <c r="B25" s="1" t="s">
        <v>39</v>
      </c>
      <c r="C25" s="1" t="s">
        <v>40</v>
      </c>
      <c r="D25" s="1" t="s">
        <v>129</v>
      </c>
      <c r="E25" s="1" t="s">
        <v>130</v>
      </c>
      <c r="F25" s="1" t="s">
        <v>129</v>
      </c>
      <c r="G25" s="1" t="s">
        <v>86</v>
      </c>
      <c r="I25" s="2">
        <v>5000</v>
      </c>
      <c r="J25" s="1">
        <v>8827986.65</v>
      </c>
      <c r="K25" s="1" t="s">
        <v>44</v>
      </c>
      <c r="L25" s="1" t="s">
        <v>131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97</v>
      </c>
      <c r="U25" s="1" t="s">
        <v>114</v>
      </c>
      <c r="V25" s="1" t="s">
        <v>46</v>
      </c>
      <c r="W25" s="1" t="s">
        <v>115</v>
      </c>
      <c r="X25" s="1" t="s">
        <v>46</v>
      </c>
      <c r="Y25" s="1" t="s">
        <v>46</v>
      </c>
      <c r="Z25" s="1" t="s">
        <v>46</v>
      </c>
      <c r="AA25" s="1" t="s">
        <v>46</v>
      </c>
      <c r="AB25" s="1" t="s">
        <v>46</v>
      </c>
      <c r="AC25" s="1" t="s">
        <v>46</v>
      </c>
      <c r="AD25" s="1" t="s">
        <v>46</v>
      </c>
      <c r="AE25" s="1" t="s">
        <v>132</v>
      </c>
      <c r="AF25" s="1" t="s">
        <v>92</v>
      </c>
      <c r="AG25" s="1" t="s">
        <v>46</v>
      </c>
      <c r="AH25" s="1" t="s">
        <v>46</v>
      </c>
      <c r="AI25" s="1" t="s">
        <v>46</v>
      </c>
      <c r="AJ25" s="1" t="s">
        <v>46</v>
      </c>
      <c r="AK25" s="3" t="s">
        <v>52</v>
      </c>
    </row>
    <row r="26" customFormat="1" customHeight="1" spans="1:38">
      <c r="A26" s="1" t="s">
        <v>38</v>
      </c>
      <c r="B26" s="1" t="s">
        <v>39</v>
      </c>
      <c r="C26" s="1" t="s">
        <v>40</v>
      </c>
      <c r="D26" s="10" t="s">
        <v>134</v>
      </c>
      <c r="E26" s="1" t="s">
        <v>135</v>
      </c>
      <c r="F26" s="1" t="s">
        <v>134</v>
      </c>
      <c r="G26" s="1" t="s">
        <v>86</v>
      </c>
      <c r="H26" s="1"/>
      <c r="I26" s="2">
        <v>4200</v>
      </c>
      <c r="J26" s="1">
        <v>5867754.1</v>
      </c>
      <c r="K26" s="1" t="s">
        <v>136</v>
      </c>
      <c r="L26" s="1" t="s">
        <v>137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97</v>
      </c>
      <c r="U26" s="1" t="s">
        <v>138</v>
      </c>
      <c r="V26" s="1" t="s">
        <v>46</v>
      </c>
      <c r="W26" s="1" t="s">
        <v>139</v>
      </c>
      <c r="X26" s="1" t="s">
        <v>46</v>
      </c>
      <c r="Y26" s="1" t="s">
        <v>46</v>
      </c>
      <c r="Z26" s="1" t="s">
        <v>46</v>
      </c>
      <c r="AA26" s="1" t="s">
        <v>46</v>
      </c>
      <c r="AB26" s="1" t="s">
        <v>46</v>
      </c>
      <c r="AC26" s="1" t="s">
        <v>46</v>
      </c>
      <c r="AD26" s="1" t="s">
        <v>46</v>
      </c>
      <c r="AE26" s="1" t="s">
        <v>140</v>
      </c>
      <c r="AF26" s="1" t="s">
        <v>92</v>
      </c>
      <c r="AG26" s="1" t="s">
        <v>46</v>
      </c>
      <c r="AH26" s="1" t="s">
        <v>46</v>
      </c>
      <c r="AI26" s="1" t="s">
        <v>46</v>
      </c>
      <c r="AJ26" s="1" t="s">
        <v>46</v>
      </c>
      <c r="AK26" s="3" t="s">
        <v>52</v>
      </c>
      <c r="AL26" s="1"/>
    </row>
    <row r="27" customFormat="1" customHeight="1" spans="1:37">
      <c r="A27" s="1" t="s">
        <v>38</v>
      </c>
      <c r="B27" s="1" t="s">
        <v>39</v>
      </c>
      <c r="C27" s="1" t="s">
        <v>40</v>
      </c>
      <c r="D27" s="10">
        <v>45628</v>
      </c>
      <c r="E27" s="1" t="s">
        <v>142</v>
      </c>
      <c r="F27" s="1" t="s">
        <v>143</v>
      </c>
      <c r="G27" s="1" t="s">
        <v>86</v>
      </c>
      <c r="H27" s="1"/>
      <c r="I27" s="2">
        <v>4000</v>
      </c>
      <c r="J27" s="1">
        <v>7893689.07</v>
      </c>
      <c r="K27" s="1" t="s">
        <v>144</v>
      </c>
      <c r="L27" s="1" t="s">
        <v>145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98</v>
      </c>
      <c r="U27" s="1" t="s">
        <v>146</v>
      </c>
      <c r="V27" s="1" t="s">
        <v>46</v>
      </c>
      <c r="W27" s="1" t="s">
        <v>147</v>
      </c>
      <c r="X27" s="1" t="s">
        <v>46</v>
      </c>
      <c r="Y27" s="1" t="s">
        <v>46</v>
      </c>
      <c r="Z27" s="1" t="s">
        <v>46</v>
      </c>
      <c r="AA27" s="1" t="s">
        <v>46</v>
      </c>
      <c r="AB27" s="1" t="s">
        <v>46</v>
      </c>
      <c r="AC27" s="1" t="s">
        <v>46</v>
      </c>
      <c r="AD27" s="1" t="s">
        <v>46</v>
      </c>
      <c r="AE27" s="1" t="s">
        <v>148</v>
      </c>
      <c r="AF27" s="1" t="s">
        <v>92</v>
      </c>
      <c r="AG27" s="1" t="s">
        <v>46</v>
      </c>
      <c r="AH27" s="1" t="s">
        <v>46</v>
      </c>
      <c r="AI27" s="1" t="s">
        <v>46</v>
      </c>
      <c r="AJ27" s="1" t="s">
        <v>46</v>
      </c>
      <c r="AK27" s="3" t="s">
        <v>52</v>
      </c>
    </row>
    <row r="28" s="1" customFormat="1" customHeight="1" spans="1:37">
      <c r="A28" s="1" t="s">
        <v>38</v>
      </c>
      <c r="B28" s="1" t="s">
        <v>39</v>
      </c>
      <c r="C28" s="1" t="s">
        <v>40</v>
      </c>
      <c r="D28" s="1" t="s">
        <v>63</v>
      </c>
      <c r="E28" s="1" t="s">
        <v>150</v>
      </c>
      <c r="F28" s="1" t="s">
        <v>63</v>
      </c>
      <c r="G28" s="1" t="s">
        <v>86</v>
      </c>
      <c r="I28" s="2">
        <v>4000</v>
      </c>
      <c r="J28" s="1">
        <v>7042174.23</v>
      </c>
      <c r="K28" s="1" t="s">
        <v>144</v>
      </c>
      <c r="L28" s="1" t="s">
        <v>151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98</v>
      </c>
      <c r="U28" s="1" t="s">
        <v>146</v>
      </c>
      <c r="V28" s="1" t="s">
        <v>46</v>
      </c>
      <c r="W28" s="1" t="s">
        <v>147</v>
      </c>
      <c r="X28" s="1" t="s">
        <v>46</v>
      </c>
      <c r="Y28" s="1" t="s">
        <v>46</v>
      </c>
      <c r="Z28" s="1" t="s">
        <v>46</v>
      </c>
      <c r="AA28" s="1" t="s">
        <v>46</v>
      </c>
      <c r="AB28" s="1" t="s">
        <v>46</v>
      </c>
      <c r="AC28" s="1" t="s">
        <v>46</v>
      </c>
      <c r="AD28" s="1" t="s">
        <v>46</v>
      </c>
      <c r="AE28" s="1" t="s">
        <v>152</v>
      </c>
      <c r="AF28" s="1" t="s">
        <v>92</v>
      </c>
      <c r="AG28" s="1" t="s">
        <v>46</v>
      </c>
      <c r="AH28" s="1" t="s">
        <v>46</v>
      </c>
      <c r="AI28" s="1" t="s">
        <v>46</v>
      </c>
      <c r="AJ28" s="1" t="s">
        <v>46</v>
      </c>
      <c r="AK28" s="3" t="s">
        <v>52</v>
      </c>
    </row>
    <row r="29" s="1" customFormat="1" customHeight="1" spans="3:37">
      <c r="C29" s="1" t="s">
        <v>93</v>
      </c>
      <c r="D29" s="9">
        <v>45694</v>
      </c>
      <c r="I29" s="2">
        <v>4000</v>
      </c>
      <c r="K29" s="1" t="s">
        <v>44</v>
      </c>
      <c r="T29" s="1" t="s">
        <v>101</v>
      </c>
      <c r="AK29" s="3" t="s">
        <v>52</v>
      </c>
    </row>
    <row r="30" s="1" customFormat="1" customHeight="1" spans="1:38">
      <c r="A30" s="1" t="s">
        <v>38</v>
      </c>
      <c r="B30" s="1" t="s">
        <v>39</v>
      </c>
      <c r="C30" s="1" t="s">
        <v>40</v>
      </c>
      <c r="D30" s="1" t="s">
        <v>53</v>
      </c>
      <c r="E30" s="1" t="s">
        <v>154</v>
      </c>
      <c r="F30" s="1" t="s">
        <v>53</v>
      </c>
      <c r="G30" s="1" t="s">
        <v>86</v>
      </c>
      <c r="H30" s="6"/>
      <c r="I30" s="2">
        <v>3000</v>
      </c>
      <c r="J30" s="6">
        <v>8043177.12</v>
      </c>
      <c r="K30" s="1" t="s">
        <v>44</v>
      </c>
      <c r="L30" s="1" t="s">
        <v>155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128</v>
      </c>
      <c r="U30" s="1" t="s">
        <v>156</v>
      </c>
      <c r="V30" s="1" t="s">
        <v>46</v>
      </c>
      <c r="W30" s="1" t="s">
        <v>157</v>
      </c>
      <c r="X30" s="1" t="s">
        <v>46</v>
      </c>
      <c r="Y30" s="1" t="s">
        <v>46</v>
      </c>
      <c r="Z30" s="1" t="s">
        <v>46</v>
      </c>
      <c r="AA30" s="1" t="s">
        <v>46</v>
      </c>
      <c r="AB30" s="1" t="s">
        <v>46</v>
      </c>
      <c r="AC30" s="1" t="s">
        <v>46</v>
      </c>
      <c r="AD30" s="1" t="s">
        <v>46</v>
      </c>
      <c r="AE30" s="1" t="s">
        <v>158</v>
      </c>
      <c r="AF30" s="1" t="s">
        <v>92</v>
      </c>
      <c r="AG30" s="1" t="s">
        <v>46</v>
      </c>
      <c r="AH30" s="1" t="s">
        <v>46</v>
      </c>
      <c r="AI30" s="1" t="s">
        <v>46</v>
      </c>
      <c r="AJ30" s="1" t="s">
        <v>46</v>
      </c>
      <c r="AK30" s="3"/>
      <c r="AL30" s="1" t="s">
        <v>252</v>
      </c>
    </row>
    <row r="31" s="1" customFormat="1" customHeight="1" spans="3:37">
      <c r="C31" s="1" t="s">
        <v>93</v>
      </c>
      <c r="D31" s="9">
        <v>45401</v>
      </c>
      <c r="I31" s="2">
        <v>3000</v>
      </c>
      <c r="K31" s="1" t="s">
        <v>44</v>
      </c>
      <c r="T31" s="1" t="s">
        <v>127</v>
      </c>
      <c r="AK31" s="3" t="s">
        <v>52</v>
      </c>
    </row>
    <row r="32" s="1" customFormat="1" customHeight="1" spans="1:37">
      <c r="A32" s="1" t="s">
        <v>38</v>
      </c>
      <c r="B32" s="1" t="s">
        <v>39</v>
      </c>
      <c r="C32" s="1" t="s">
        <v>40</v>
      </c>
      <c r="D32" s="10" t="s">
        <v>160</v>
      </c>
      <c r="E32" s="1" t="s">
        <v>161</v>
      </c>
      <c r="F32" s="1" t="s">
        <v>160</v>
      </c>
      <c r="G32" s="1" t="s">
        <v>86</v>
      </c>
      <c r="I32" s="2">
        <v>3000</v>
      </c>
      <c r="J32" s="1">
        <v>5847070.18</v>
      </c>
      <c r="K32" s="1" t="s">
        <v>136</v>
      </c>
      <c r="L32" s="1" t="s">
        <v>162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46</v>
      </c>
      <c r="T32" s="1" t="s">
        <v>97</v>
      </c>
      <c r="U32" s="1" t="s">
        <v>138</v>
      </c>
      <c r="V32" s="1" t="s">
        <v>46</v>
      </c>
      <c r="W32" s="1" t="s">
        <v>139</v>
      </c>
      <c r="X32" s="1" t="s">
        <v>46</v>
      </c>
      <c r="Y32" s="1" t="s">
        <v>46</v>
      </c>
      <c r="Z32" s="1" t="s">
        <v>46</v>
      </c>
      <c r="AA32" s="1" t="s">
        <v>46</v>
      </c>
      <c r="AB32" s="1" t="s">
        <v>46</v>
      </c>
      <c r="AC32" s="1" t="s">
        <v>46</v>
      </c>
      <c r="AD32" s="1" t="s">
        <v>46</v>
      </c>
      <c r="AE32" s="1" t="s">
        <v>163</v>
      </c>
      <c r="AF32" s="1" t="s">
        <v>92</v>
      </c>
      <c r="AG32" s="1" t="s">
        <v>46</v>
      </c>
      <c r="AH32" s="1" t="s">
        <v>46</v>
      </c>
      <c r="AI32" s="1" t="s">
        <v>46</v>
      </c>
      <c r="AJ32" s="1" t="s">
        <v>46</v>
      </c>
      <c r="AK32" s="3" t="s">
        <v>52</v>
      </c>
    </row>
    <row r="33" s="1" customFormat="1" customHeight="1" spans="3:37">
      <c r="C33" s="1" t="s">
        <v>93</v>
      </c>
      <c r="D33" s="9">
        <v>45701</v>
      </c>
      <c r="I33" s="2">
        <v>2400</v>
      </c>
      <c r="K33" s="1" t="s">
        <v>44</v>
      </c>
      <c r="T33" s="1" t="s">
        <v>99</v>
      </c>
      <c r="AK33" s="3"/>
    </row>
    <row r="34" s="1" customFormat="1" customHeight="1" spans="1:37">
      <c r="A34" s="1" t="s">
        <v>38</v>
      </c>
      <c r="B34" s="1" t="s">
        <v>39</v>
      </c>
      <c r="C34" s="1" t="s">
        <v>40</v>
      </c>
      <c r="D34" s="1" t="s">
        <v>164</v>
      </c>
      <c r="E34" s="1" t="s">
        <v>165</v>
      </c>
      <c r="F34" s="1" t="s">
        <v>164</v>
      </c>
      <c r="G34" s="1" t="s">
        <v>86</v>
      </c>
      <c r="H34" s="6"/>
      <c r="I34" s="2">
        <v>2100</v>
      </c>
      <c r="J34" s="6">
        <v>5278100.21</v>
      </c>
      <c r="K34" s="1" t="s">
        <v>136</v>
      </c>
      <c r="L34" s="1" t="s">
        <v>166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97</v>
      </c>
      <c r="U34" s="1" t="s">
        <v>167</v>
      </c>
      <c r="V34" s="1" t="s">
        <v>46</v>
      </c>
      <c r="W34" s="1" t="s">
        <v>139</v>
      </c>
      <c r="X34" s="1" t="s">
        <v>46</v>
      </c>
      <c r="Y34" s="1" t="s">
        <v>46</v>
      </c>
      <c r="Z34" s="1" t="s">
        <v>46</v>
      </c>
      <c r="AA34" s="1" t="s">
        <v>46</v>
      </c>
      <c r="AB34" s="1" t="s">
        <v>46</v>
      </c>
      <c r="AC34" s="1" t="s">
        <v>46</v>
      </c>
      <c r="AD34" s="1" t="s">
        <v>46</v>
      </c>
      <c r="AE34" s="1" t="s">
        <v>168</v>
      </c>
      <c r="AF34" s="1" t="s">
        <v>92</v>
      </c>
      <c r="AG34" s="1" t="s">
        <v>46</v>
      </c>
      <c r="AH34" s="1" t="s">
        <v>46</v>
      </c>
      <c r="AI34" s="1" t="s">
        <v>46</v>
      </c>
      <c r="AJ34" s="1" t="s">
        <v>46</v>
      </c>
      <c r="AK34" s="3" t="s">
        <v>52</v>
      </c>
    </row>
    <row r="35" s="1" customFormat="1" customHeight="1" spans="1:37">
      <c r="A35" s="1" t="s">
        <v>38</v>
      </c>
      <c r="B35" s="1" t="s">
        <v>39</v>
      </c>
      <c r="C35" s="1" t="s">
        <v>40</v>
      </c>
      <c r="D35" s="1" t="s">
        <v>53</v>
      </c>
      <c r="E35" s="1" t="s">
        <v>169</v>
      </c>
      <c r="F35" s="1" t="s">
        <v>53</v>
      </c>
      <c r="G35" s="1" t="s">
        <v>43</v>
      </c>
      <c r="H35" s="6"/>
      <c r="I35" s="2">
        <v>2000</v>
      </c>
      <c r="J35" s="6">
        <v>8140928.19</v>
      </c>
      <c r="K35" s="1" t="s">
        <v>44</v>
      </c>
      <c r="L35" s="1" t="s">
        <v>170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133</v>
      </c>
      <c r="U35" s="1" t="s">
        <v>171</v>
      </c>
      <c r="V35" s="1" t="s">
        <v>46</v>
      </c>
      <c r="W35" s="1" t="s">
        <v>172</v>
      </c>
      <c r="X35" s="1" t="s">
        <v>46</v>
      </c>
      <c r="Y35" s="1" t="s">
        <v>46</v>
      </c>
      <c r="Z35" s="1" t="s">
        <v>46</v>
      </c>
      <c r="AA35" s="1" t="s">
        <v>46</v>
      </c>
      <c r="AB35" s="1" t="s">
        <v>46</v>
      </c>
      <c r="AC35" s="1" t="s">
        <v>46</v>
      </c>
      <c r="AD35" s="1" t="s">
        <v>46</v>
      </c>
      <c r="AE35" s="1" t="s">
        <v>173</v>
      </c>
      <c r="AF35" s="1" t="s">
        <v>51</v>
      </c>
      <c r="AG35" s="1" t="s">
        <v>46</v>
      </c>
      <c r="AH35" s="1" t="s">
        <v>46</v>
      </c>
      <c r="AI35" s="1" t="s">
        <v>46</v>
      </c>
      <c r="AJ35" s="1" t="s">
        <v>46</v>
      </c>
      <c r="AK35" s="3" t="s">
        <v>52</v>
      </c>
    </row>
    <row r="36" s="1" customFormat="1" customHeight="1" spans="1:37">
      <c r="A36" s="1" t="s">
        <v>38</v>
      </c>
      <c r="B36" s="1" t="s">
        <v>39</v>
      </c>
      <c r="C36" s="1" t="s">
        <v>40</v>
      </c>
      <c r="D36" s="1" t="s">
        <v>174</v>
      </c>
      <c r="E36" s="1" t="s">
        <v>175</v>
      </c>
      <c r="F36" s="1" t="s">
        <v>174</v>
      </c>
      <c r="G36" s="1" t="s">
        <v>86</v>
      </c>
      <c r="I36" s="2">
        <v>2000</v>
      </c>
      <c r="J36" s="1">
        <v>6832743.96</v>
      </c>
      <c r="K36" s="1" t="s">
        <v>136</v>
      </c>
      <c r="L36" s="1" t="s">
        <v>176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46</v>
      </c>
      <c r="T36" s="1" t="s">
        <v>97</v>
      </c>
      <c r="U36" s="1" t="s">
        <v>138</v>
      </c>
      <c r="V36" s="1" t="s">
        <v>46</v>
      </c>
      <c r="W36" s="1" t="s">
        <v>139</v>
      </c>
      <c r="X36" s="1" t="s">
        <v>46</v>
      </c>
      <c r="Y36" s="1" t="s">
        <v>46</v>
      </c>
      <c r="Z36" s="1" t="s">
        <v>46</v>
      </c>
      <c r="AA36" s="1" t="s">
        <v>46</v>
      </c>
      <c r="AB36" s="1" t="s">
        <v>46</v>
      </c>
      <c r="AC36" s="1" t="s">
        <v>46</v>
      </c>
      <c r="AD36" s="1" t="s">
        <v>46</v>
      </c>
      <c r="AE36" s="1" t="s">
        <v>177</v>
      </c>
      <c r="AF36" s="1" t="s">
        <v>92</v>
      </c>
      <c r="AG36" s="1" t="s">
        <v>46</v>
      </c>
      <c r="AH36" s="1" t="s">
        <v>46</v>
      </c>
      <c r="AI36" s="1" t="s">
        <v>46</v>
      </c>
      <c r="AJ36" s="1" t="s">
        <v>46</v>
      </c>
      <c r="AK36" s="3" t="s">
        <v>52</v>
      </c>
    </row>
    <row r="37" s="1" customFormat="1" customHeight="1" spans="1:37">
      <c r="A37" s="1" t="s">
        <v>38</v>
      </c>
      <c r="B37" s="1" t="s">
        <v>39</v>
      </c>
      <c r="C37" s="1" t="s">
        <v>40</v>
      </c>
      <c r="D37" s="10" t="s">
        <v>178</v>
      </c>
      <c r="E37" s="1" t="s">
        <v>179</v>
      </c>
      <c r="F37" s="1" t="s">
        <v>178</v>
      </c>
      <c r="G37" s="1" t="s">
        <v>86</v>
      </c>
      <c r="I37" s="2">
        <v>2000</v>
      </c>
      <c r="J37" s="1">
        <v>5928870.73</v>
      </c>
      <c r="K37" s="1" t="s">
        <v>144</v>
      </c>
      <c r="L37" s="1" t="s">
        <v>180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46</v>
      </c>
      <c r="T37" s="17" t="s">
        <v>98</v>
      </c>
      <c r="U37" s="1" t="s">
        <v>146</v>
      </c>
      <c r="V37" s="1" t="s">
        <v>46</v>
      </c>
      <c r="W37" s="1" t="s">
        <v>147</v>
      </c>
      <c r="X37" s="1" t="s">
        <v>46</v>
      </c>
      <c r="Y37" s="1" t="s">
        <v>46</v>
      </c>
      <c r="Z37" s="1" t="s">
        <v>46</v>
      </c>
      <c r="AA37" s="1" t="s">
        <v>46</v>
      </c>
      <c r="AB37" s="1" t="s">
        <v>46</v>
      </c>
      <c r="AC37" s="1" t="s">
        <v>46</v>
      </c>
      <c r="AD37" s="1" t="s">
        <v>46</v>
      </c>
      <c r="AE37" s="1" t="s">
        <v>181</v>
      </c>
      <c r="AF37" s="1" t="s">
        <v>92</v>
      </c>
      <c r="AG37" s="1" t="s">
        <v>46</v>
      </c>
      <c r="AH37" s="1" t="s">
        <v>46</v>
      </c>
      <c r="AI37" s="1" t="s">
        <v>46</v>
      </c>
      <c r="AJ37" s="1" t="s">
        <v>46</v>
      </c>
      <c r="AK37" s="3" t="s">
        <v>52</v>
      </c>
    </row>
    <row r="38" s="1" customFormat="1" customHeight="1" spans="3:37">
      <c r="C38" s="1" t="s">
        <v>93</v>
      </c>
      <c r="D38" s="9">
        <v>45623</v>
      </c>
      <c r="I38" s="2">
        <v>1700</v>
      </c>
      <c r="K38" s="1" t="s">
        <v>44</v>
      </c>
      <c r="T38" s="1" t="s">
        <v>95</v>
      </c>
      <c r="AK38" s="3" t="s">
        <v>52</v>
      </c>
    </row>
    <row r="39" s="1" customFormat="1" customHeight="1" spans="3:37">
      <c r="C39" s="1" t="s">
        <v>93</v>
      </c>
      <c r="D39" s="9">
        <v>45601</v>
      </c>
      <c r="I39" s="2">
        <v>1500</v>
      </c>
      <c r="K39" s="1" t="s">
        <v>44</v>
      </c>
      <c r="T39" s="1" t="s">
        <v>141</v>
      </c>
      <c r="AK39" s="3" t="s">
        <v>52</v>
      </c>
    </row>
    <row r="40" s="1" customFormat="1" customHeight="1" spans="1:37">
      <c r="A40" s="1" t="s">
        <v>38</v>
      </c>
      <c r="B40" s="1" t="s">
        <v>39</v>
      </c>
      <c r="C40" s="1" t="s">
        <v>40</v>
      </c>
      <c r="D40" s="1" t="s">
        <v>182</v>
      </c>
      <c r="E40" s="1" t="s">
        <v>183</v>
      </c>
      <c r="F40" s="1" t="s">
        <v>182</v>
      </c>
      <c r="G40" s="1" t="s">
        <v>86</v>
      </c>
      <c r="H40" s="6"/>
      <c r="I40" s="2">
        <v>1200</v>
      </c>
      <c r="J40" s="6">
        <v>3620787.59</v>
      </c>
      <c r="K40" s="1" t="s">
        <v>136</v>
      </c>
      <c r="L40" s="1" t="s">
        <v>184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97</v>
      </c>
      <c r="U40" s="1" t="s">
        <v>167</v>
      </c>
      <c r="V40" s="1" t="s">
        <v>46</v>
      </c>
      <c r="W40" s="1" t="s">
        <v>139</v>
      </c>
      <c r="X40" s="1" t="s">
        <v>46</v>
      </c>
      <c r="Y40" s="1" t="s">
        <v>46</v>
      </c>
      <c r="Z40" s="1" t="s">
        <v>46</v>
      </c>
      <c r="AA40" s="1" t="s">
        <v>46</v>
      </c>
      <c r="AB40" s="1" t="s">
        <v>46</v>
      </c>
      <c r="AC40" s="1" t="s">
        <v>46</v>
      </c>
      <c r="AD40" s="1" t="s">
        <v>46</v>
      </c>
      <c r="AE40" s="1" t="s">
        <v>185</v>
      </c>
      <c r="AF40" s="1" t="s">
        <v>92</v>
      </c>
      <c r="AG40" s="1" t="s">
        <v>46</v>
      </c>
      <c r="AH40" s="1" t="s">
        <v>46</v>
      </c>
      <c r="AI40" s="1" t="s">
        <v>46</v>
      </c>
      <c r="AJ40" s="1" t="s">
        <v>46</v>
      </c>
      <c r="AK40" s="3" t="s">
        <v>52</v>
      </c>
    </row>
    <row r="41" s="1" customFormat="1" customHeight="1" spans="3:37">
      <c r="C41" s="1" t="s">
        <v>93</v>
      </c>
      <c r="D41" s="9">
        <v>45483</v>
      </c>
      <c r="I41" s="2">
        <v>1000</v>
      </c>
      <c r="K41" s="1" t="s">
        <v>44</v>
      </c>
      <c r="T41" s="1" t="s">
        <v>149</v>
      </c>
      <c r="AK41" s="3" t="s">
        <v>52</v>
      </c>
    </row>
    <row r="42" s="1" customFormat="1" customHeight="1" spans="3:37">
      <c r="C42" s="1" t="s">
        <v>93</v>
      </c>
      <c r="D42" s="9">
        <v>45423</v>
      </c>
      <c r="I42" s="2">
        <v>750</v>
      </c>
      <c r="K42" s="1" t="s">
        <v>44</v>
      </c>
      <c r="T42" s="1" t="s">
        <v>133</v>
      </c>
      <c r="AK42" s="3" t="s">
        <v>52</v>
      </c>
    </row>
    <row r="43" s="1" customFormat="1" customHeight="1" spans="3:37">
      <c r="C43" s="1" t="s">
        <v>93</v>
      </c>
      <c r="D43" s="9">
        <v>45615</v>
      </c>
      <c r="I43" s="2">
        <v>180</v>
      </c>
      <c r="K43" s="1" t="s">
        <v>44</v>
      </c>
      <c r="T43" s="1" t="s">
        <v>95</v>
      </c>
      <c r="AK43" s="3" t="s">
        <v>52</v>
      </c>
    </row>
    <row r="44" s="1" customFormat="1" customHeight="1" spans="3:37">
      <c r="C44" s="1" t="s">
        <v>93</v>
      </c>
      <c r="D44" s="9">
        <v>45714</v>
      </c>
      <c r="I44" s="2">
        <v>592000</v>
      </c>
      <c r="K44" s="1" t="s">
        <v>44</v>
      </c>
      <c r="T44" s="1" t="s">
        <v>47</v>
      </c>
      <c r="AK44" s="3" t="s">
        <v>52</v>
      </c>
    </row>
    <row r="45" s="1" customFormat="1" customHeight="1" spans="3:37">
      <c r="C45" s="1" t="s">
        <v>93</v>
      </c>
      <c r="D45" s="9">
        <v>45714</v>
      </c>
      <c r="I45" s="2">
        <v>3000</v>
      </c>
      <c r="K45" s="1" t="s">
        <v>44</v>
      </c>
      <c r="T45" s="1" t="s">
        <v>122</v>
      </c>
      <c r="AK45" s="3"/>
    </row>
    <row r="46" s="1" customFormat="1" customHeight="1" spans="1:37">
      <c r="A46" s="1" t="s">
        <v>38</v>
      </c>
      <c r="B46" s="1" t="s">
        <v>39</v>
      </c>
      <c r="C46" s="1" t="s">
        <v>40</v>
      </c>
      <c r="D46" s="10" t="s">
        <v>186</v>
      </c>
      <c r="E46" s="1" t="s">
        <v>187</v>
      </c>
      <c r="F46" s="1" t="s">
        <v>186</v>
      </c>
      <c r="G46" s="1" t="s">
        <v>86</v>
      </c>
      <c r="I46" s="2">
        <v>15000</v>
      </c>
      <c r="J46" s="1">
        <v>4367847.77</v>
      </c>
      <c r="K46" s="1" t="s">
        <v>144</v>
      </c>
      <c r="L46" s="1" t="s">
        <v>188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98</v>
      </c>
      <c r="U46" s="1" t="s">
        <v>146</v>
      </c>
      <c r="V46" s="1" t="s">
        <v>46</v>
      </c>
      <c r="W46" s="1" t="s">
        <v>147</v>
      </c>
      <c r="X46" s="1" t="s">
        <v>46</v>
      </c>
      <c r="Y46" s="1" t="s">
        <v>46</v>
      </c>
      <c r="Z46" s="1" t="s">
        <v>46</v>
      </c>
      <c r="AA46" s="1" t="s">
        <v>46</v>
      </c>
      <c r="AB46" s="1" t="s">
        <v>46</v>
      </c>
      <c r="AC46" s="1" t="s">
        <v>46</v>
      </c>
      <c r="AD46" s="1" t="s">
        <v>46</v>
      </c>
      <c r="AE46" s="1" t="s">
        <v>189</v>
      </c>
      <c r="AF46" s="1" t="s">
        <v>92</v>
      </c>
      <c r="AG46" s="1" t="s">
        <v>46</v>
      </c>
      <c r="AH46" s="1" t="s">
        <v>46</v>
      </c>
      <c r="AI46" s="1" t="s">
        <v>46</v>
      </c>
      <c r="AJ46" s="1" t="s">
        <v>46</v>
      </c>
      <c r="AK46" s="3"/>
    </row>
    <row r="47" customFormat="1" ht="20" customHeight="1" spans="1:36">
      <c r="A47" t="s">
        <v>38</v>
      </c>
      <c r="B47" t="s">
        <v>39</v>
      </c>
      <c r="C47" s="1" t="s">
        <v>40</v>
      </c>
      <c r="D47" s="10" t="s">
        <v>190</v>
      </c>
      <c r="E47" s="1" t="s">
        <v>191</v>
      </c>
      <c r="F47" s="1" t="s">
        <v>190</v>
      </c>
      <c r="G47" s="1" t="s">
        <v>43</v>
      </c>
      <c r="H47" s="1"/>
      <c r="I47" s="2">
        <v>800000</v>
      </c>
      <c r="J47" s="1">
        <v>4369623.74</v>
      </c>
      <c r="K47" s="1" t="s">
        <v>192</v>
      </c>
      <c r="L47" s="1" t="s">
        <v>193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83</v>
      </c>
      <c r="U47" t="s">
        <v>194</v>
      </c>
      <c r="V47" t="s">
        <v>46</v>
      </c>
      <c r="W47" t="s">
        <v>195</v>
      </c>
      <c r="X47" t="s">
        <v>46</v>
      </c>
      <c r="Y47" t="s">
        <v>46</v>
      </c>
      <c r="Z47" t="s">
        <v>46</v>
      </c>
      <c r="AA47" t="s">
        <v>46</v>
      </c>
      <c r="AB47" t="s">
        <v>46</v>
      </c>
      <c r="AC47" t="s">
        <v>46</v>
      </c>
      <c r="AD47" t="s">
        <v>46</v>
      </c>
      <c r="AE47" t="s">
        <v>196</v>
      </c>
      <c r="AF47" t="s">
        <v>51</v>
      </c>
      <c r="AG47" t="s">
        <v>46</v>
      </c>
      <c r="AH47" t="s">
        <v>46</v>
      </c>
      <c r="AI47" t="s">
        <v>46</v>
      </c>
      <c r="AJ47" t="s">
        <v>46</v>
      </c>
    </row>
    <row r="48" customFormat="1" ht="20" customHeight="1" spans="1:36">
      <c r="A48" t="s">
        <v>38</v>
      </c>
      <c r="B48" t="s">
        <v>39</v>
      </c>
      <c r="C48" s="1" t="s">
        <v>40</v>
      </c>
      <c r="D48" s="10" t="s">
        <v>198</v>
      </c>
      <c r="E48" s="1" t="s">
        <v>199</v>
      </c>
      <c r="F48" s="1" t="s">
        <v>198</v>
      </c>
      <c r="G48" s="1" t="s">
        <v>43</v>
      </c>
      <c r="H48" s="1"/>
      <c r="I48" s="2">
        <v>582000</v>
      </c>
      <c r="J48" s="1">
        <v>4843043.99</v>
      </c>
      <c r="K48" s="1" t="s">
        <v>44</v>
      </c>
      <c r="L48" s="1" t="s">
        <v>200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47</v>
      </c>
      <c r="U48" t="s">
        <v>48</v>
      </c>
      <c r="V48" t="s">
        <v>46</v>
      </c>
      <c r="W48" t="s">
        <v>49</v>
      </c>
      <c r="X48" t="s">
        <v>46</v>
      </c>
      <c r="Y48" t="s">
        <v>46</v>
      </c>
      <c r="Z48" t="s">
        <v>46</v>
      </c>
      <c r="AA48" t="s">
        <v>46</v>
      </c>
      <c r="AB48" t="s">
        <v>46</v>
      </c>
      <c r="AC48" t="s">
        <v>46</v>
      </c>
      <c r="AD48" t="s">
        <v>46</v>
      </c>
      <c r="AE48" t="s">
        <v>201</v>
      </c>
      <c r="AF48" t="s">
        <v>51</v>
      </c>
      <c r="AG48" t="s">
        <v>46</v>
      </c>
      <c r="AH48" t="s">
        <v>46</v>
      </c>
      <c r="AI48" t="s">
        <v>46</v>
      </c>
      <c r="AJ48" t="s">
        <v>46</v>
      </c>
    </row>
    <row r="49" s="1" customFormat="1" customHeight="1" spans="4:37">
      <c r="D49" s="10"/>
      <c r="I49" s="2"/>
      <c r="AK49" s="3"/>
    </row>
    <row r="50" s="1" customFormat="1" customHeight="1" spans="4:37">
      <c r="D50" s="10"/>
      <c r="I50" s="2"/>
      <c r="AK50" s="3"/>
    </row>
    <row r="51" s="1" customFormat="1" customHeight="1" spans="4:37">
      <c r="D51" s="10"/>
      <c r="I51" s="2"/>
      <c r="AK51" s="3"/>
    </row>
    <row r="52" s="1" customFormat="1" customHeight="1" spans="4:37">
      <c r="D52" s="10"/>
      <c r="I52" s="2"/>
      <c r="AK52" s="3"/>
    </row>
    <row r="53" s="1" customFormat="1" customHeight="1" spans="4:37">
      <c r="D53" s="10"/>
      <c r="I53" s="2"/>
      <c r="AK53" s="3"/>
    </row>
    <row r="54" s="1" customFormat="1" customHeight="1" spans="4:37">
      <c r="D54" s="10"/>
      <c r="I54" s="2"/>
      <c r="AK54" s="3"/>
    </row>
    <row r="56" s="1" customFormat="1" customHeight="1" spans="3:37">
      <c r="C56" s="11" t="s">
        <v>250</v>
      </c>
      <c r="D56" s="11"/>
      <c r="E56" s="12"/>
      <c r="F56" s="12"/>
      <c r="G56" s="12"/>
      <c r="H56" s="12"/>
      <c r="I56" s="15">
        <f>SUM(I3:I55)</f>
        <v>4988410.08</v>
      </c>
      <c r="AK56" s="3"/>
    </row>
  </sheetData>
  <mergeCells count="1">
    <mergeCell ref="C56:D5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2024-2025.6销售收款台账</vt:lpstr>
      <vt:lpstr>2025.1-6销售收款台账</vt:lpstr>
      <vt:lpstr>2024年度销售收款台账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李姿</cp:lastModifiedBy>
  <dcterms:created xsi:type="dcterms:W3CDTF">2024-11-25T06:58:00Z</dcterms:created>
  <dcterms:modified xsi:type="dcterms:W3CDTF">2025-07-10T01:52:23Z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FD384B5E2F3F4560A88A3EBFC592512C_13</vt:lpwstr>
  </property>
  <property fmtid="{D5CDD505-2E9C-101B-9397-08002B2CF9AE}" pid="3" name="KSOProductBuildVer">
    <vt:lpwstr>2052-12.1.0.21915</vt:lpwstr>
  </property>
</Properties>
</file>
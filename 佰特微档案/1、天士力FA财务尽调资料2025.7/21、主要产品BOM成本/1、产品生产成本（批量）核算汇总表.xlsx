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产品成本核算表" sheetId="1" r:id="rId1"/>
  </sheets>
  <externalReferences>
    <externalReference r:id="rId2"/>
  </externalReferences>
  <definedNames>
    <definedName name="TextRefCopy112">[1]Consol!$CF$14</definedName>
    <definedName name="TextRefCopy150">[1]Consol!$CF$135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<sst xmlns="http://schemas.openxmlformats.org/spreadsheetml/2006/main" count="41" uniqueCount="34">
  <si>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产品生产成本核算表</t>
  </si>
  <si>
    <t>序号</t>
  </si>
  <si>
    <t>产品编码</t>
  </si>
  <si>
    <t>产品名称</t>
  </si>
  <si>
    <t>规格型号</t>
  </si>
  <si>
    <t>原材料</t>
  </si>
  <si>
    <t>加工费</t>
  </si>
  <si>
    <t>其他费用分摊</t>
  </si>
  <si>
    <t>总成本</t>
  </si>
  <si>
    <t>备注</t>
  </si>
  <si>
    <t>数量</t>
  </si>
  <si>
    <t>单价</t>
  </si>
  <si>
    <t>金额</t>
  </si>
  <si>
    <t>直接人工</t>
  </si>
  <si>
    <t>BTW-001</t>
  </si>
  <si>
    <t>弹簧圈</t>
  </si>
  <si>
    <t>小规格</t>
  </si>
  <si>
    <t>其他费用分摊包含二楼生产产房租金、水电、灭菌费、车间制造费用</t>
  </si>
  <si>
    <t>BTW-002</t>
  </si>
  <si>
    <t>微导管</t>
  </si>
  <si>
    <t>MC18</t>
  </si>
  <si>
    <t>BTW-003</t>
  </si>
  <si>
    <t>可调弯鞘</t>
  </si>
  <si>
    <t>5F</t>
  </si>
  <si>
    <t>BTW-004</t>
  </si>
  <si>
    <t>血管内回收装置</t>
  </si>
  <si>
    <t>BTW-CD-2-15</t>
  </si>
  <si>
    <t>BTW-005</t>
  </si>
  <si>
    <t>外周球囊导管</t>
  </si>
  <si>
    <t>BTW-006</t>
  </si>
  <si>
    <t>血管鞘</t>
  </si>
  <si>
    <t>BTW-007</t>
  </si>
  <si>
    <t>经颈静脉肝内穿刺器械</t>
  </si>
  <si>
    <t>B-TIPS-100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</si>
</sst>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黑体"/>
      <charset val="134"/>
    </font>
    <font>
      <sz val="12"/>
      <color theme="1"/>
      <name val="黑体"/>
      <charset val="134"/>
    </font>
    <font>
      <sz val="12"/>
      <name val="黑体"/>
      <charset val="134"/>
    </font>
    <font>
      <b/>
      <sz val="20"/>
      <color theme="1"/>
      <name val="黑体"/>
      <charset val="134"/>
    </font>
    <font>
      <b/>
      <sz val="20"/>
      <name val="黑体"/>
      <charset val="134"/>
    </font>
    <font>
      <sz val="10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shrinkToFi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3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3" fillId="0" borderId="1" xfId="0" applyNumberFormat="1" applyFont="1" applyBorder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shrinkToFit="1"/>
    </xf>
    <xf numFmtId="4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shrinkToFit="1"/>
    </xf>
    <xf numFmtId="43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left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My%20Documents\My%20RTX%20Files\sunhaiying\Consolidation%20Spreadsheet%20Mar%202015%20V3%202015041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Consol"/>
      <sheetName val="CJEs"/>
      <sheetName val="FS summary"/>
      <sheetName val="Subject summary"/>
      <sheetName val="Sheet1"/>
      <sheetName val="B01"/>
      <sheetName val="B02"/>
      <sheetName val="B03"/>
      <sheetName val="LT补做分录"/>
      <sheetName val="CB Entries0731"/>
      <sheetName val="P01"/>
      <sheetName val="P02"/>
      <sheetName val="P03"/>
      <sheetName val="P04"/>
      <sheetName val="P05"/>
      <sheetName val="Exchange Rate"/>
      <sheetName val="Medtronic CB valuation"/>
      <sheetName val="Amortised cost"/>
      <sheetName val="AR坏账计提明细"/>
      <sheetName val="Broncus CB Entry"/>
      <sheetName val="Broncus CB amortised cost"/>
      <sheetName val="Broncus CB Valuation"/>
      <sheetName val="GI支架减值（集团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799981688894314"/>
  </sheetPr>
  <dimension ref="B1:L18"/>
  <sheetViews>
    <sheetView showGridLines="0" tabSelected="1" workbookViewId="0">
      <selection activeCell="D11" sqref="D11"/>
    </sheetView>
  </sheetViews>
  <sheetFormatPr defaultColWidth="10" defaultRowHeight="28.05" customHeight="1"/>
  <cols>
    <col min="1" max="1" width="1.44166666666667" style="2" customWidth="1"/>
    <col min="2" max="2" width="6.44166666666667" style="2" customWidth="1"/>
    <col min="3" max="3" width="10.2166666666667" style="2" customWidth="1"/>
    <col min="4" max="4" width="26.6666666666667" style="2" customWidth="1"/>
    <col min="5" max="5" width="14.375" style="2" customWidth="1"/>
    <col min="6" max="6" width="7.775" style="3" customWidth="1"/>
    <col min="7" max="8" width="12.8833333333333" style="4" customWidth="1"/>
    <col min="9" max="9" width="13.8833333333333" style="5" customWidth="1"/>
    <col min="10" max="10" width="10.2166666666667" style="5" customWidth="1"/>
    <col min="11" max="11" width="12.8833333333333" style="5" customWidth="1"/>
    <col min="12" max="12" width="53.2166666666667" style="6" customWidth="1"/>
    <col min="13" max="16373" width="10" style="2" customWidth="1"/>
    <col min="16374" max="16384" width="10" style="2"/>
  </cols>
  <sheetData>
    <row r="1" ht="12" customHeight="1"/>
    <row r="2" ht="40.95" customHeight="1" spans="2:12">
      <c r="B2" s="7" t="s">
        <v>0</v>
      </c>
      <c r="C2" s="7"/>
      <c r="D2" s="7"/>
      <c r="E2" s="7"/>
      <c r="F2" s="8"/>
      <c r="G2" s="9"/>
      <c r="H2" s="9"/>
      <c r="I2" s="15"/>
      <c r="J2" s="15"/>
      <c r="K2" s="15"/>
      <c r="L2" s="16"/>
    </row>
    <row r="3" ht="12" customHeight="1"/>
    <row r="4" s="1" customFormat="1" ht="27" customHeight="1" spans="2:12"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1"/>
      <c r="H4" s="11"/>
      <c r="I4" s="11" t="s">
        <v>6</v>
      </c>
      <c r="J4" s="17" t="s">
        <v>7</v>
      </c>
      <c r="K4" s="11" t="s">
        <v>8</v>
      </c>
      <c r="L4" s="18" t="s">
        <v>9</v>
      </c>
    </row>
    <row r="5" s="1" customFormat="1" ht="27" customHeight="1" spans="2:12">
      <c r="B5" s="10"/>
      <c r="C5" s="10"/>
      <c r="D5" s="10"/>
      <c r="E5" s="10"/>
      <c r="F5" s="10" t="s">
        <v>10</v>
      </c>
      <c r="G5" s="11" t="s">
        <v>11</v>
      </c>
      <c r="H5" s="11" t="s">
        <v>12</v>
      </c>
      <c r="I5" s="11" t="s">
        <v>13</v>
      </c>
      <c r="J5" s="17"/>
      <c r="K5" s="11"/>
      <c r="L5" s="18"/>
    </row>
    <row r="6" ht="22.95" customHeight="1" spans="2:12">
      <c r="B6" s="12">
        <v>1</v>
      </c>
      <c r="C6" s="12" t="s">
        <v>14</v>
      </c>
      <c r="D6" s="12" t="s">
        <v>15</v>
      </c>
      <c r="E6" s="12" t="s">
        <v>16</v>
      </c>
      <c r="F6" s="13">
        <v>1</v>
      </c>
      <c r="G6" s="14">
        <v>500</v>
      </c>
      <c r="H6" s="14">
        <f t="shared" ref="H6:H12" si="0">IF(D6="","",F6*G6)</f>
        <v>500</v>
      </c>
      <c r="I6" s="19">
        <v>80</v>
      </c>
      <c r="J6" s="19">
        <v>50</v>
      </c>
      <c r="K6" s="19">
        <f>SUM(H6:J6)</f>
        <v>630</v>
      </c>
      <c r="L6" s="20" t="s">
        <v>17</v>
      </c>
    </row>
    <row r="7" ht="22.95" customHeight="1" spans="2:12">
      <c r="B7" s="12">
        <v>2</v>
      </c>
      <c r="C7" s="12" t="s">
        <v>18</v>
      </c>
      <c r="D7" s="12" t="s">
        <v>19</v>
      </c>
      <c r="E7" s="12" t="s">
        <v>20</v>
      </c>
      <c r="F7" s="13">
        <v>1</v>
      </c>
      <c r="G7" s="14">
        <v>150</v>
      </c>
      <c r="H7" s="14">
        <f t="shared" si="0"/>
        <v>150</v>
      </c>
      <c r="I7" s="19">
        <v>30</v>
      </c>
      <c r="J7" s="19">
        <v>50</v>
      </c>
      <c r="K7" s="19">
        <f t="shared" ref="K7:K12" si="1">SUM(H7:J7)</f>
        <v>230</v>
      </c>
      <c r="L7" s="20" t="s">
        <v>17</v>
      </c>
    </row>
    <row r="8" ht="22.95" customHeight="1" spans="2:12">
      <c r="B8" s="12">
        <v>3</v>
      </c>
      <c r="C8" s="12" t="s">
        <v>21</v>
      </c>
      <c r="D8" s="12" t="s">
        <v>22</v>
      </c>
      <c r="E8" s="12" t="s">
        <v>23</v>
      </c>
      <c r="F8" s="13">
        <v>1</v>
      </c>
      <c r="G8" s="14">
        <v>250</v>
      </c>
      <c r="H8" s="14">
        <f t="shared" si="0"/>
        <v>250</v>
      </c>
      <c r="I8" s="19">
        <v>60</v>
      </c>
      <c r="J8" s="19">
        <v>50</v>
      </c>
      <c r="K8" s="19">
        <f t="shared" si="1"/>
        <v>360</v>
      </c>
      <c r="L8" s="20" t="s">
        <v>17</v>
      </c>
    </row>
    <row r="9" ht="22.95" customHeight="1" spans="2:12">
      <c r="B9" s="12">
        <v>4</v>
      </c>
      <c r="C9" s="12" t="s">
        <v>24</v>
      </c>
      <c r="D9" s="12" t="s">
        <v>25</v>
      </c>
      <c r="E9" s="12" t="s">
        <v>26</v>
      </c>
      <c r="F9" s="13">
        <v>1</v>
      </c>
      <c r="G9" s="14">
        <v>120</v>
      </c>
      <c r="H9" s="14">
        <f t="shared" si="0"/>
        <v>120</v>
      </c>
      <c r="I9" s="19">
        <v>25</v>
      </c>
      <c r="J9" s="19">
        <v>30</v>
      </c>
      <c r="K9" s="19">
        <f t="shared" si="1"/>
        <v>175</v>
      </c>
      <c r="L9" s="20" t="s">
        <v>17</v>
      </c>
    </row>
    <row r="10" ht="22.95" customHeight="1" spans="2:12">
      <c r="B10" s="12">
        <v>5</v>
      </c>
      <c r="C10" s="12" t="s">
        <v>27</v>
      </c>
      <c r="D10" s="12" t="s">
        <v>28</v>
      </c>
      <c r="E10" s="12">
        <v>32</v>
      </c>
      <c r="F10" s="13">
        <v>1</v>
      </c>
      <c r="G10" s="14">
        <v>175.2679</v>
      </c>
      <c r="H10" s="14">
        <f t="shared" si="0"/>
        <v>175.2679</v>
      </c>
      <c r="I10" s="19">
        <v>25</v>
      </c>
      <c r="J10" s="19">
        <v>30</v>
      </c>
      <c r="K10" s="19">
        <f t="shared" si="1"/>
        <v>230.2679</v>
      </c>
      <c r="L10" s="20" t="s">
        <v>17</v>
      </c>
    </row>
    <row r="11" ht="22.95" customHeight="1" spans="2:12">
      <c r="B11" s="12">
        <v>6</v>
      </c>
      <c r="C11" s="12" t="s">
        <v>29</v>
      </c>
      <c r="D11" s="12" t="s">
        <v>30</v>
      </c>
      <c r="E11" s="12" t="s">
        <v>23</v>
      </c>
      <c r="F11" s="13">
        <v>1</v>
      </c>
      <c r="G11" s="14">
        <v>120</v>
      </c>
      <c r="H11" s="14">
        <f t="shared" si="0"/>
        <v>120</v>
      </c>
      <c r="I11" s="19">
        <v>30</v>
      </c>
      <c r="J11" s="19">
        <v>30</v>
      </c>
      <c r="K11" s="19">
        <f t="shared" si="1"/>
        <v>180</v>
      </c>
      <c r="L11" s="20" t="s">
        <v>17</v>
      </c>
    </row>
    <row r="12" ht="22.95" customHeight="1" spans="2:12">
      <c r="B12" s="12">
        <v>7</v>
      </c>
      <c r="C12" s="12" t="s">
        <v>31</v>
      </c>
      <c r="D12" s="12" t="s">
        <v>32</v>
      </c>
      <c r="E12" s="12" t="s">
        <v>33</v>
      </c>
      <c r="F12" s="13">
        <v>1</v>
      </c>
      <c r="G12" s="14">
        <v>351.391981666667</v>
      </c>
      <c r="H12" s="14">
        <f t="shared" si="0"/>
        <v>351.391981666667</v>
      </c>
      <c r="I12" s="19">
        <v>50</v>
      </c>
      <c r="J12" s="19">
        <v>50</v>
      </c>
      <c r="K12" s="19">
        <f t="shared" si="1"/>
        <v>451.391981666667</v>
      </c>
      <c r="L12" s="20" t="s">
        <v>17</v>
      </c>
    </row>
    <row r="13" ht="22.95" customHeight="1" spans="2:12">
      <c r="B13" s="12"/>
      <c r="C13" s="12"/>
      <c r="D13" s="12"/>
      <c r="E13" s="12"/>
      <c r="F13" s="13"/>
      <c r="G13" s="14"/>
      <c r="H13" s="14"/>
      <c r="I13" s="19"/>
      <c r="J13" s="19"/>
      <c r="K13" s="19"/>
      <c r="L13" s="21"/>
    </row>
    <row r="14" ht="22.95" customHeight="1" spans="2:12">
      <c r="B14" s="12"/>
      <c r="C14" s="12"/>
      <c r="D14" s="12"/>
      <c r="E14" s="12"/>
      <c r="F14" s="13"/>
      <c r="G14" s="14"/>
      <c r="H14" s="14"/>
      <c r="I14" s="19"/>
      <c r="J14" s="19"/>
      <c r="K14" s="19"/>
      <c r="L14" s="21"/>
    </row>
    <row r="15" ht="22.95" customHeight="1" spans="2:12">
      <c r="B15" s="12"/>
      <c r="C15" s="12"/>
      <c r="D15" s="12"/>
      <c r="E15" s="12"/>
      <c r="F15" s="13"/>
      <c r="G15" s="14"/>
      <c r="H15" s="14"/>
      <c r="I15" s="19"/>
      <c r="J15" s="19"/>
      <c r="K15" s="19"/>
      <c r="L15" s="21"/>
    </row>
    <row r="16" ht="22.95" customHeight="1" spans="2:12">
      <c r="B16" s="12"/>
      <c r="C16" s="12"/>
      <c r="D16" s="12"/>
      <c r="E16" s="12"/>
      <c r="F16" s="13"/>
      <c r="G16" s="14"/>
      <c r="H16" s="14" t="str">
        <f t="shared" ref="H16:H18" si="2">IF(D16="","",F16*G16)</f>
        <v/>
      </c>
      <c r="I16" s="19"/>
      <c r="J16" s="19"/>
      <c r="K16" s="19" t="str">
        <f>IF(D16="","",H16+#REF!+#REF!+I16+#REF!+#REF!+J16)</f>
        <v/>
      </c>
      <c r="L16" s="21"/>
    </row>
    <row r="17" ht="22.95" customHeight="1" spans="2:12">
      <c r="B17" s="12"/>
      <c r="C17" s="12"/>
      <c r="D17" s="12"/>
      <c r="E17" s="12"/>
      <c r="F17" s="13"/>
      <c r="G17" s="14"/>
      <c r="H17" s="14" t="str">
        <f t="shared" si="2"/>
        <v/>
      </c>
      <c r="I17" s="19"/>
      <c r="J17" s="19"/>
      <c r="K17" s="19" t="str">
        <f>IF(D17="","",H17+#REF!+#REF!+I17+#REF!+#REF!+J17)</f>
        <v/>
      </c>
      <c r="L17" s="21"/>
    </row>
    <row r="18" ht="22.95" customHeight="1" spans="2:12">
      <c r="B18" s="12"/>
      <c r="C18" s="12"/>
      <c r="D18" s="12"/>
      <c r="E18" s="12"/>
      <c r="F18" s="13"/>
      <c r="G18" s="14"/>
      <c r="H18" s="14" t="str">
        <f t="shared" si="2"/>
        <v/>
      </c>
      <c r="I18" s="19"/>
      <c r="J18" s="19"/>
      <c r="K18" s="19" t="str">
        <f>IF(D18="","",H18+#REF!+#REF!+I18+#REF!+#REF!+J18)</f>
        <v/>
      </c>
      <c r="L18" s="21"/>
    </row>
  </sheetData>
  <mergeCells count="9">
    <mergeCell ref="B2:L2"/>
    <mergeCell ref="F4:H4"/>
    <mergeCell ref="B4:B5"/>
    <mergeCell ref="C4:C5"/>
    <mergeCell ref="D4:D5"/>
    <mergeCell ref="E4:E5"/>
    <mergeCell ref="J4:J5"/>
    <mergeCell ref="K4:K5"/>
    <mergeCell ref="L4:L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产品成本核算表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李姿</cp:lastModifiedBy>
  <dcterms:created xsi:type="dcterms:W3CDTF">2025-03-18T07:36:00Z</dcterms:created>
  <dcterms:modified xsi:type="dcterms:W3CDTF">2025-07-31T05:52:06Z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7E14267FDC2F4127A36B4C293501BAF7_11</vt:lpwstr>
  </property>
  <property fmtid="{D5CDD505-2E9C-101B-9397-08002B2CF9AE}" pid="3" name="KSOProductBuildVer">
    <vt:lpwstr>2052-12.1.0.21915</vt:lpwstr>
  </property>
</Properties>
</file>
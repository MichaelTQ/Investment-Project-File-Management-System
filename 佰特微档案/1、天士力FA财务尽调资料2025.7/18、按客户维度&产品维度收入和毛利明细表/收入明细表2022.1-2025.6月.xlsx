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收入和毛利明细表-天士力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<sst xmlns="http://schemas.openxmlformats.org/spreadsheetml/2006/main" count="71" uniqueCount="43">
  <si>
    <t>收入与成本分析</t>
  </si>
  <si>
    <t>单位：万</t>
  </si>
  <si>
    <t>1、营业收入构成分析——按产品类型</t>
  </si>
  <si>
    <t>注：销售收入为不含税金额</t>
  </si>
  <si>
    <t>收入类型</t>
  </si>
  <si>
    <t>2025年（1-6）月</t>
  </si>
  <si>
    <t>2024年度</t>
  </si>
  <si>
    <t>2023年度</t>
  </si>
  <si>
    <t>2022年度</t>
  </si>
  <si>
    <t>销售额</t>
  </si>
  <si>
    <t>毛利率</t>
  </si>
  <si>
    <t>比例</t>
  </si>
  <si>
    <t>带纤维毛机械解脱弹簧圈</t>
  </si>
  <si>
    <t>可调弯鞘</t>
  </si>
  <si>
    <t>经颈静脉肝内穿刺器械</t>
  </si>
  <si>
    <t>外周球囊</t>
  </si>
  <si>
    <t>微导管</t>
  </si>
  <si>
    <t>血管鞘</t>
  </si>
  <si>
    <t>血管内回收装置</t>
  </si>
  <si>
    <t>其他服务收入</t>
  </si>
  <si>
    <t>-</t>
  </si>
  <si>
    <t>合计：</t>
  </si>
  <si>
    <t>2、营业收入构成分析——按客户</t>
  </si>
  <si>
    <t>客户</t>
  </si>
  <si>
    <t>上海瑞桥深息医疗科技有限公司</t>
  </si>
  <si>
    <t>合肥迈缔科医疗设备有限公司</t>
  </si>
  <si>
    <t>河南莘晟医疗科技有限公司</t>
  </si>
  <si>
    <t>甘肃百舒达医疗科技有限公司</t>
  </si>
  <si>
    <t>上海陇昇医疗器械有限公司</t>
  </si>
  <si>
    <t>安徽东灵医疗器械有限公司</t>
  </si>
  <si>
    <t>安徽中鼎医疗设备有限公司</t>
  </si>
  <si>
    <t>湛江市润丰医疗器械有限公司</t>
  </si>
  <si>
    <t>北京华脉泰科医疗器械股份有限公司</t>
  </si>
  <si>
    <t>杭州千桐生物科技有限公司</t>
  </si>
  <si>
    <t>深圳市轩威供应链管理有限公司</t>
  </si>
  <si>
    <t>河南珏林贸易有限公司</t>
  </si>
  <si>
    <t>湖南辰宇医疗健康产品有限公司</t>
  </si>
  <si>
    <t>江苏赫胥科技有限公司</t>
  </si>
  <si>
    <t>金宝医学科技（深圳）有限公司</t>
  </si>
  <si>
    <t>上海安悦谐晨医疗器械有限公司</t>
  </si>
  <si>
    <t>上海医疗器械进出口有限公司</t>
  </si>
  <si>
    <t>上海助业医疗器械有限公司</t>
  </si>
  <si>
    <t>南京欣科医疗器械有限公司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</si>
</sst>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6">
    <font>
      <sz val="11"/>
      <color rgb="FF000000"/>
      <name val="SimSun"/>
      <charset val="134"/>
    </font>
    <font>
      <b/>
      <sz val="14"/>
      <color rgb="FF000000"/>
      <name val="宋体"/>
      <charset val="134"/>
      <scheme val="minor"/>
    </font>
    <font>
      <b/>
      <sz val="12"/>
      <color rgb="FF000000"/>
      <name val="SimSun"/>
      <charset val="134"/>
    </font>
    <font>
      <b/>
      <sz val="11"/>
      <color rgb="FF000000"/>
      <name val="SimSun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57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43" fontId="0" fillId="0" borderId="1" xfId="0" applyNumberFormat="1" applyFill="1" applyBorder="1"/>
    <xf numFmtId="9" fontId="0" fillId="0" borderId="1" xfId="3" applyFont="1" applyFill="1" applyBorder="1" applyAlignment="1"/>
    <xf numFmtId="176" fontId="0" fillId="0" borderId="1" xfId="3" applyNumberFormat="1" applyFont="1" applyFill="1" applyBorder="1" applyAlignment="1"/>
    <xf numFmtId="4" fontId="0" fillId="0" borderId="1" xfId="0" applyNumberFormat="1" applyBorder="1"/>
    <xf numFmtId="9" fontId="0" fillId="0" borderId="1" xfId="3" applyFont="1" applyBorder="1" applyAlignment="1"/>
    <xf numFmtId="176" fontId="0" fillId="0" borderId="1" xfId="3" applyNumberFormat="1" applyFont="1" applyBorder="1" applyAlignment="1">
      <alignment horizontal="center"/>
    </xf>
    <xf numFmtId="43" fontId="4" fillId="0" borderId="1" xfId="0" applyNumberFormat="1" applyFont="1" applyFill="1" applyBorder="1" applyAlignment="1">
      <alignment horizontal="right" vertical="center"/>
    </xf>
    <xf numFmtId="43" fontId="0" fillId="0" borderId="1" xfId="3" applyNumberFormat="1" applyFont="1" applyBorder="1" applyAlignment="1"/>
    <xf numFmtId="43" fontId="0" fillId="0" borderId="1" xfId="3" applyNumberFormat="1" applyFont="1" applyBorder="1" applyAlignment="1">
      <alignment horizontal="center"/>
    </xf>
    <xf numFmtId="0" fontId="0" fillId="0" borderId="1" xfId="0" applyBorder="1"/>
    <xf numFmtId="176" fontId="0" fillId="0" borderId="1" xfId="3" applyNumberFormat="1" applyFont="1" applyBorder="1" applyAlignment="1">
      <alignment horizontal="right"/>
    </xf>
    <xf numFmtId="10" fontId="0" fillId="0" borderId="1" xfId="0" applyNumberFormat="1" applyFill="1" applyBorder="1"/>
    <xf numFmtId="0" fontId="3" fillId="0" borderId="0" xfId="0" applyFont="1" applyAlignment="1">
      <alignment horizontal="left"/>
    </xf>
    <xf numFmtId="0" fontId="0" fillId="0" borderId="1" xfId="0" applyFill="1" applyBorder="1"/>
    <xf numFmtId="176" fontId="0" fillId="0" borderId="1" xfId="3" applyNumberFormat="1" applyFont="1" applyFill="1" applyBorder="1" applyAlignment="1">
      <alignment horizontal="center"/>
    </xf>
    <xf numFmtId="43" fontId="0" fillId="0" borderId="1" xfId="3" applyNumberFormat="1" applyFont="1" applyFill="1" applyBorder="1" applyAlignment="1"/>
    <xf numFmtId="43" fontId="0" fillId="0" borderId="1" xfId="3" applyNumberFormat="1" applyFont="1" applyFill="1" applyBorder="1" applyAlignment="1">
      <alignment horizontal="center"/>
    </xf>
    <xf numFmtId="43" fontId="0" fillId="0" borderId="1" xfId="0" applyNumberFormat="1" applyBorder="1"/>
    <xf numFmtId="10" fontId="0" fillId="0" borderId="1" xfId="0" applyNumberFormat="1" applyBorder="1"/>
    <xf numFmtId="9" fontId="0" fillId="0" borderId="1" xfId="3" applyFont="1" applyBorder="1" applyAlignment="1">
      <alignment horizontal="center"/>
    </xf>
    <xf numFmtId="0" fontId="5" fillId="0" borderId="0" xfId="0" applyFont="1"/>
    <xf numFmtId="176" fontId="0" fillId="0" borderId="1" xfId="3" applyNumberFormat="1" applyFont="1" applyBorder="1" applyAlignment="1"/>
    <xf numFmtId="9" fontId="0" fillId="0" borderId="1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Desktop\2024&#24180;&#23458;&#25143;&amp;&#39033;&#30446;-&#26680;&#31639;&#32500;&#24230;&#19982;&#31185;&#30446;&#32452;&#21512;&#34920;_202507161020010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"/>
      <sheetName val="Sheet1"/>
    </sheetNames>
    <sheetDataSet>
      <sheetData sheetId="0"/>
      <sheetData sheetId="1">
        <row r="3">
          <cell r="E3">
            <v>0.67</v>
          </cell>
        </row>
        <row r="4">
          <cell r="E4">
            <v>0.76</v>
          </cell>
        </row>
        <row r="5">
          <cell r="E5">
            <v>0.76</v>
          </cell>
        </row>
        <row r="6">
          <cell r="E6">
            <v>0.82</v>
          </cell>
        </row>
        <row r="7">
          <cell r="E7">
            <v>0.73</v>
          </cell>
        </row>
        <row r="8">
          <cell r="E8">
            <v>0.72</v>
          </cell>
        </row>
        <row r="10">
          <cell r="E10">
            <v>0.69</v>
          </cell>
        </row>
        <row r="11">
          <cell r="E11">
            <v>0.79</v>
          </cell>
        </row>
        <row r="12">
          <cell r="E12">
            <v>0.7</v>
          </cell>
        </row>
        <row r="13">
          <cell r="E13">
            <v>0.71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tabSelected="1" topLeftCell="A4" workbookViewId="0">
      <selection activeCell="F19" sqref="F19"/>
    </sheetView>
  </sheetViews>
  <sheetFormatPr defaultColWidth="9" defaultRowHeight="13.5"/>
  <cols>
    <col min="1" max="1" width="32.125" customWidth="1"/>
    <col min="2" max="4" width="11.375" customWidth="1"/>
    <col min="5" max="5" width="14.125" customWidth="1"/>
    <col min="6" max="6" width="15.375" customWidth="1"/>
    <col min="7" max="7" width="12.5" customWidth="1"/>
    <col min="8" max="8" width="13" customWidth="1"/>
    <col min="9" max="9" width="12.875" customWidth="1"/>
    <col min="10" max="10" width="13.875" customWidth="1"/>
    <col min="11" max="11" width="12.625"/>
    <col min="13" max="13" width="14.625" customWidth="1"/>
    <col min="14" max="14" width="14.5" customWidth="1"/>
  </cols>
  <sheetData>
    <row r="1" customFormat="1" ht="18.75" spans="1:1">
      <c r="A1" s="2" t="s">
        <v>0</v>
      </c>
    </row>
    <row r="2" spans="11:11">
      <c r="K2" s="19" t="s">
        <v>1</v>
      </c>
    </row>
    <row r="3" customFormat="1" ht="14.25" spans="1:10">
      <c r="A3" s="3" t="s">
        <v>2</v>
      </c>
      <c r="J3" t="s">
        <v>3</v>
      </c>
    </row>
    <row r="5" customFormat="1" spans="1:13">
      <c r="A5" s="4" t="s">
        <v>4</v>
      </c>
      <c r="B5" s="5" t="s">
        <v>5</v>
      </c>
      <c r="C5" s="4"/>
      <c r="D5" s="4"/>
      <c r="E5" s="4" t="s">
        <v>6</v>
      </c>
      <c r="F5" s="4"/>
      <c r="G5" s="4"/>
      <c r="H5" s="4" t="s">
        <v>7</v>
      </c>
      <c r="I5" s="4"/>
      <c r="J5" s="4"/>
      <c r="K5" s="4" t="s">
        <v>8</v>
      </c>
      <c r="L5" s="4"/>
      <c r="M5" s="4"/>
    </row>
    <row r="6" s="1" customFormat="1" spans="1:13">
      <c r="A6" s="4"/>
      <c r="B6" s="4" t="s">
        <v>9</v>
      </c>
      <c r="C6" s="4" t="s">
        <v>10</v>
      </c>
      <c r="D6" s="4" t="s">
        <v>11</v>
      </c>
      <c r="E6" s="4" t="s">
        <v>9</v>
      </c>
      <c r="F6" s="4" t="s">
        <v>10</v>
      </c>
      <c r="G6" s="4" t="s">
        <v>11</v>
      </c>
      <c r="H6" s="4" t="s">
        <v>9</v>
      </c>
      <c r="I6" s="4" t="s">
        <v>10</v>
      </c>
      <c r="J6" s="4" t="s">
        <v>11</v>
      </c>
      <c r="K6" s="4" t="s">
        <v>9</v>
      </c>
      <c r="L6" s="4" t="s">
        <v>10</v>
      </c>
      <c r="M6" s="4" t="s">
        <v>11</v>
      </c>
    </row>
    <row r="7" customFormat="1" spans="1:13">
      <c r="A7" s="6" t="s">
        <v>12</v>
      </c>
      <c r="B7" s="7">
        <v>196.92</v>
      </c>
      <c r="C7" s="8">
        <v>0.719118481902809</v>
      </c>
      <c r="D7" s="9">
        <f>B7/$B$15</f>
        <v>0.768678273089234</v>
      </c>
      <c r="E7" s="10">
        <v>188.14</v>
      </c>
      <c r="F7" s="11">
        <v>0.674701255196624</v>
      </c>
      <c r="G7" s="12">
        <f>E7/$E$15</f>
        <v>0.910340155803939</v>
      </c>
      <c r="H7" s="13">
        <v>0</v>
      </c>
      <c r="I7" s="14">
        <v>0</v>
      </c>
      <c r="J7" s="28"/>
      <c r="K7" s="13">
        <v>0</v>
      </c>
      <c r="L7" s="14">
        <v>0</v>
      </c>
      <c r="M7" s="16"/>
    </row>
    <row r="8" customFormat="1" spans="1:13">
      <c r="A8" s="6" t="s">
        <v>13</v>
      </c>
      <c r="B8" s="7">
        <v>28.04</v>
      </c>
      <c r="C8" s="8">
        <v>0.574718504800726</v>
      </c>
      <c r="D8" s="9">
        <f t="shared" ref="D8:D13" si="0">B8/$B$15</f>
        <v>0.109454289952377</v>
      </c>
      <c r="E8" s="10">
        <v>14.02</v>
      </c>
      <c r="F8" s="11">
        <v>0.746716185255496</v>
      </c>
      <c r="G8" s="12">
        <f t="shared" ref="G8:G15" si="1">E8/$E$15</f>
        <v>0.0678376155223303</v>
      </c>
      <c r="H8" s="13">
        <v>0</v>
      </c>
      <c r="I8" s="14">
        <v>0</v>
      </c>
      <c r="J8" s="28"/>
      <c r="K8" s="13">
        <v>0</v>
      </c>
      <c r="L8" s="14">
        <v>0</v>
      </c>
      <c r="M8" s="16"/>
    </row>
    <row r="9" customFormat="1" spans="1:13">
      <c r="A9" s="6" t="s">
        <v>14</v>
      </c>
      <c r="B9" s="7">
        <v>15.93</v>
      </c>
      <c r="C9" s="8">
        <v>0.638086036068471</v>
      </c>
      <c r="D9" s="9">
        <f t="shared" si="0"/>
        <v>0.0621828401904911</v>
      </c>
      <c r="E9" s="13">
        <v>1.73</v>
      </c>
      <c r="F9" s="11">
        <v>0.789800331930202</v>
      </c>
      <c r="G9" s="12">
        <f t="shared" si="1"/>
        <v>0.00837083272850438</v>
      </c>
      <c r="H9" s="13">
        <v>0</v>
      </c>
      <c r="I9" s="14">
        <v>0</v>
      </c>
      <c r="J9" s="28"/>
      <c r="K9" s="13">
        <v>0</v>
      </c>
      <c r="L9" s="14">
        <v>0</v>
      </c>
      <c r="M9" s="16"/>
    </row>
    <row r="10" customFormat="1" spans="1:13">
      <c r="A10" s="6" t="s">
        <v>15</v>
      </c>
      <c r="B10" s="7">
        <v>12.12</v>
      </c>
      <c r="C10" s="8">
        <v>0.721092556656513</v>
      </c>
      <c r="D10" s="9">
        <f t="shared" si="0"/>
        <v>0.0473104848153642</v>
      </c>
      <c r="E10" s="13">
        <v>0</v>
      </c>
      <c r="F10" s="14">
        <v>0</v>
      </c>
      <c r="G10" s="15">
        <f t="shared" si="1"/>
        <v>0</v>
      </c>
      <c r="H10" s="16">
        <v>5.95</v>
      </c>
      <c r="I10" s="24">
        <v>0</v>
      </c>
      <c r="J10" s="14">
        <v>0</v>
      </c>
      <c r="K10" s="16">
        <v>62.13</v>
      </c>
      <c r="L10" s="29">
        <v>0.21</v>
      </c>
      <c r="M10" s="11">
        <f>K10/K15</f>
        <v>1</v>
      </c>
    </row>
    <row r="11" customFormat="1" spans="1:13">
      <c r="A11" s="6" t="s">
        <v>16</v>
      </c>
      <c r="B11" s="7">
        <v>1.59</v>
      </c>
      <c r="C11" s="8">
        <v>0.411127991361776</v>
      </c>
      <c r="D11" s="9">
        <f t="shared" si="0"/>
        <v>0.0062065735030057</v>
      </c>
      <c r="E11" s="13"/>
      <c r="F11" s="14"/>
      <c r="G11" s="15">
        <f t="shared" si="1"/>
        <v>0</v>
      </c>
      <c r="H11" s="13"/>
      <c r="I11" s="14"/>
      <c r="J11" s="28"/>
      <c r="K11" s="13"/>
      <c r="L11" s="14"/>
      <c r="M11" s="16"/>
    </row>
    <row r="12" customFormat="1" spans="1:13">
      <c r="A12" s="6" t="s">
        <v>17</v>
      </c>
      <c r="B12" s="7">
        <v>1.14</v>
      </c>
      <c r="C12" s="8">
        <v>0.507212105424348</v>
      </c>
      <c r="D12" s="9">
        <f t="shared" si="0"/>
        <v>0.00444999609649465</v>
      </c>
      <c r="E12" s="13">
        <v>0</v>
      </c>
      <c r="F12" s="14">
        <v>0</v>
      </c>
      <c r="G12" s="15">
        <f t="shared" si="1"/>
        <v>0</v>
      </c>
      <c r="H12" s="16"/>
      <c r="I12" s="24"/>
      <c r="J12" s="28"/>
      <c r="K12" s="16"/>
      <c r="L12" s="29"/>
      <c r="M12" s="11"/>
    </row>
    <row r="13" customFormat="1" spans="1:13">
      <c r="A13" s="6" t="s">
        <v>18</v>
      </c>
      <c r="B13" s="7">
        <v>0.44</v>
      </c>
      <c r="C13" s="8">
        <v>0.754003588878995</v>
      </c>
      <c r="D13" s="9">
        <f t="shared" si="0"/>
        <v>0.00171754235303302</v>
      </c>
      <c r="E13" s="13">
        <v>1.83</v>
      </c>
      <c r="F13" s="11">
        <v>0.774748086062537</v>
      </c>
      <c r="G13" s="12">
        <f t="shared" si="1"/>
        <v>0.00885469589200174</v>
      </c>
      <c r="H13" s="13">
        <v>0</v>
      </c>
      <c r="I13" s="14">
        <v>0</v>
      </c>
      <c r="J13" s="28"/>
      <c r="K13" s="13">
        <v>0</v>
      </c>
      <c r="L13" s="14">
        <v>0</v>
      </c>
      <c r="M13" s="16"/>
    </row>
    <row r="14" customFormat="1" spans="1:13">
      <c r="A14" s="6" t="s">
        <v>19</v>
      </c>
      <c r="B14" s="7">
        <v>0</v>
      </c>
      <c r="C14" s="8"/>
      <c r="D14" s="9"/>
      <c r="E14" s="13">
        <v>0.95</v>
      </c>
      <c r="F14" s="17" t="s">
        <v>20</v>
      </c>
      <c r="G14" s="12">
        <f t="shared" si="1"/>
        <v>0.00459670005322495</v>
      </c>
      <c r="H14" s="13"/>
      <c r="I14" s="14"/>
      <c r="J14" s="28"/>
      <c r="K14" s="13"/>
      <c r="L14" s="14"/>
      <c r="M14" s="16"/>
    </row>
    <row r="15" customFormat="1" spans="1:13">
      <c r="A15" s="16" t="s">
        <v>21</v>
      </c>
      <c r="B15" s="7">
        <f>SUM(B7:B14)</f>
        <v>256.18</v>
      </c>
      <c r="C15" s="8"/>
      <c r="D15" s="18">
        <f>B15/$B$15</f>
        <v>1</v>
      </c>
      <c r="E15" s="16">
        <f>SUM(E7:E14)</f>
        <v>206.67</v>
      </c>
      <c r="F15" s="16"/>
      <c r="G15" s="12">
        <f t="shared" si="1"/>
        <v>1</v>
      </c>
      <c r="H15" s="16">
        <f>SUM(H7:H10)</f>
        <v>5.95</v>
      </c>
      <c r="I15" s="24">
        <v>0</v>
      </c>
      <c r="J15" s="28">
        <f>SUM(J7:J10)</f>
        <v>0</v>
      </c>
      <c r="K15" s="16">
        <f>SUM(K7:K10)</f>
        <v>62.13</v>
      </c>
      <c r="L15" s="16">
        <f>SUM(L7:L10)</f>
        <v>0.21</v>
      </c>
      <c r="M15" s="11">
        <f>SUM(M7:M10)</f>
        <v>1</v>
      </c>
    </row>
    <row r="17" customFormat="1" spans="1:1">
      <c r="A17" s="19" t="s">
        <v>1</v>
      </c>
    </row>
    <row r="20" customFormat="1" ht="14.25" spans="1:1">
      <c r="A20" s="3" t="s">
        <v>22</v>
      </c>
    </row>
    <row r="22" s="1" customFormat="1" spans="1:13">
      <c r="A22" s="4" t="s">
        <v>23</v>
      </c>
      <c r="B22" s="5" t="s">
        <v>5</v>
      </c>
      <c r="C22" s="4"/>
      <c r="D22" s="4"/>
      <c r="E22" s="4" t="s">
        <v>6</v>
      </c>
      <c r="F22" s="4"/>
      <c r="G22" s="4"/>
      <c r="H22" s="4" t="s">
        <v>7</v>
      </c>
      <c r="I22" s="4"/>
      <c r="J22" s="4"/>
      <c r="K22" s="4" t="s">
        <v>8</v>
      </c>
      <c r="L22" s="4"/>
      <c r="M22" s="4"/>
    </row>
    <row r="23" s="1" customFormat="1" spans="1:13">
      <c r="A23" s="4"/>
      <c r="B23" s="4" t="s">
        <v>9</v>
      </c>
      <c r="C23" s="4" t="s">
        <v>10</v>
      </c>
      <c r="D23" s="4" t="s">
        <v>11</v>
      </c>
      <c r="E23" s="4" t="s">
        <v>9</v>
      </c>
      <c r="F23" s="4" t="s">
        <v>10</v>
      </c>
      <c r="G23" s="4" t="s">
        <v>11</v>
      </c>
      <c r="H23" s="4" t="s">
        <v>9</v>
      </c>
      <c r="I23" s="4" t="s">
        <v>10</v>
      </c>
      <c r="J23" s="4" t="s">
        <v>11</v>
      </c>
      <c r="K23" s="4" t="s">
        <v>9</v>
      </c>
      <c r="L23" s="4" t="s">
        <v>10</v>
      </c>
      <c r="M23" s="4" t="s">
        <v>11</v>
      </c>
    </row>
    <row r="24" customFormat="1" spans="1:13">
      <c r="A24" s="6" t="s">
        <v>24</v>
      </c>
      <c r="B24" s="7">
        <v>196.92</v>
      </c>
      <c r="C24" s="8">
        <v>0.719118481902809</v>
      </c>
      <c r="D24" s="18">
        <f>B24/$B$44</f>
        <v>0.768678273089234</v>
      </c>
      <c r="E24" s="20">
        <v>188.14</v>
      </c>
      <c r="F24" s="8">
        <f>[1]Sheet1!$E$3</f>
        <v>0.67</v>
      </c>
      <c r="G24" s="21">
        <f>E24/$E$44</f>
        <v>0.910340155803938</v>
      </c>
      <c r="H24" s="16"/>
      <c r="I24" s="24"/>
      <c r="J24" s="28"/>
      <c r="K24" s="16"/>
      <c r="L24" s="16"/>
      <c r="M24" s="11"/>
    </row>
    <row r="25" customFormat="1" spans="1:13">
      <c r="A25" s="6" t="s">
        <v>25</v>
      </c>
      <c r="B25" s="7">
        <v>35.08</v>
      </c>
      <c r="C25" s="8">
        <v>0.607558635283541</v>
      </c>
      <c r="D25" s="18">
        <f t="shared" ref="D24:D34" si="2">B25/$B$44</f>
        <v>0.136934967600906</v>
      </c>
      <c r="E25" s="7">
        <v>0</v>
      </c>
      <c r="F25" s="22">
        <v>0</v>
      </c>
      <c r="G25" s="23">
        <f t="shared" ref="G25:G41" si="3">E25/$E$44</f>
        <v>0</v>
      </c>
      <c r="H25" s="16"/>
      <c r="I25" s="24"/>
      <c r="J25" s="28"/>
      <c r="K25" s="16"/>
      <c r="L25" s="29"/>
      <c r="M25" s="11"/>
    </row>
    <row r="26" customFormat="1" spans="1:13">
      <c r="A26" s="6" t="s">
        <v>26</v>
      </c>
      <c r="B26" s="7">
        <v>12.19</v>
      </c>
      <c r="C26" s="8">
        <v>0.520547049588582</v>
      </c>
      <c r="D26" s="18">
        <f t="shared" si="2"/>
        <v>0.0475837301897104</v>
      </c>
      <c r="E26" s="7">
        <v>0</v>
      </c>
      <c r="F26" s="22">
        <v>0</v>
      </c>
      <c r="G26" s="23">
        <f t="shared" si="3"/>
        <v>0</v>
      </c>
      <c r="H26" s="16"/>
      <c r="I26" s="24"/>
      <c r="J26" s="28"/>
      <c r="K26" s="16"/>
      <c r="L26" s="16"/>
      <c r="M26" s="11"/>
    </row>
    <row r="27" customFormat="1" spans="1:13">
      <c r="A27" s="6" t="s">
        <v>27</v>
      </c>
      <c r="B27" s="7">
        <v>3.76</v>
      </c>
      <c r="C27" s="8">
        <v>0.844435428078559</v>
      </c>
      <c r="D27" s="18">
        <f t="shared" si="2"/>
        <v>0.0146771801077367</v>
      </c>
      <c r="E27" s="20">
        <v>3.61</v>
      </c>
      <c r="F27" s="8">
        <f>[1]Sheet1!$E$6</f>
        <v>0.82</v>
      </c>
      <c r="G27" s="21">
        <f t="shared" si="3"/>
        <v>0.0174674602022548</v>
      </c>
      <c r="H27" s="16"/>
      <c r="I27" s="16"/>
      <c r="J27" s="28"/>
      <c r="K27" s="16"/>
      <c r="L27" s="16"/>
      <c r="M27" s="16"/>
    </row>
    <row r="28" customFormat="1" spans="1:13">
      <c r="A28" s="6" t="s">
        <v>28</v>
      </c>
      <c r="B28" s="7">
        <v>2.14</v>
      </c>
      <c r="C28" s="8">
        <v>0.72020140138607</v>
      </c>
      <c r="D28" s="18">
        <f t="shared" si="2"/>
        <v>0.00835350144429698</v>
      </c>
      <c r="E28" s="20">
        <v>1.88</v>
      </c>
      <c r="F28" s="8">
        <f>[1]Sheet1!$E$7</f>
        <v>0.73</v>
      </c>
      <c r="G28" s="21">
        <f t="shared" si="3"/>
        <v>0.00909662747375042</v>
      </c>
      <c r="H28" s="16"/>
      <c r="I28" s="24"/>
      <c r="J28" s="28"/>
      <c r="K28" s="16"/>
      <c r="L28" s="16"/>
      <c r="M28" s="11"/>
    </row>
    <row r="29" customFormat="1" spans="1:13">
      <c r="A29" s="6" t="s">
        <v>29</v>
      </c>
      <c r="B29" s="7">
        <v>2.02</v>
      </c>
      <c r="C29" s="8">
        <v>0.648634382979398</v>
      </c>
      <c r="D29" s="18">
        <f t="shared" si="2"/>
        <v>0.0078850808025607</v>
      </c>
      <c r="E29" s="7">
        <v>0</v>
      </c>
      <c r="F29" s="22">
        <v>0</v>
      </c>
      <c r="G29" s="23">
        <f t="shared" si="3"/>
        <v>0</v>
      </c>
      <c r="H29" s="16"/>
      <c r="I29" s="16"/>
      <c r="J29" s="28"/>
      <c r="K29" s="16"/>
      <c r="L29" s="29"/>
      <c r="M29" s="16"/>
    </row>
    <row r="30" customFormat="1" spans="1:13">
      <c r="A30" s="6" t="s">
        <v>30</v>
      </c>
      <c r="B30" s="7">
        <v>1.5</v>
      </c>
      <c r="C30" s="8">
        <v>0.708870166342623</v>
      </c>
      <c r="D30" s="18">
        <f t="shared" si="2"/>
        <v>0.00585525802170349</v>
      </c>
      <c r="E30" s="20">
        <v>0.71</v>
      </c>
      <c r="F30" s="8">
        <f>[1]Sheet1!$E$10</f>
        <v>0.69</v>
      </c>
      <c r="G30" s="21">
        <f t="shared" si="3"/>
        <v>0.00343542846083128</v>
      </c>
      <c r="H30" s="16"/>
      <c r="I30" s="16"/>
      <c r="J30" s="28"/>
      <c r="K30" s="16"/>
      <c r="L30" s="16"/>
      <c r="M30" s="16"/>
    </row>
    <row r="31" customFormat="1" spans="1:13">
      <c r="A31" s="6" t="s">
        <v>31</v>
      </c>
      <c r="B31" s="7">
        <v>1.06</v>
      </c>
      <c r="C31" s="8">
        <v>0.652846754919742</v>
      </c>
      <c r="D31" s="18">
        <f t="shared" si="2"/>
        <v>0.00413771566867047</v>
      </c>
      <c r="E31" s="7">
        <v>0</v>
      </c>
      <c r="F31" s="22">
        <v>0</v>
      </c>
      <c r="G31" s="23">
        <f t="shared" si="3"/>
        <v>0</v>
      </c>
      <c r="H31" s="16"/>
      <c r="I31" s="24"/>
      <c r="J31" s="28"/>
      <c r="K31" s="16"/>
      <c r="L31" s="16"/>
      <c r="M31" s="11"/>
    </row>
    <row r="32" customFormat="1" spans="1:13">
      <c r="A32" s="6" t="s">
        <v>32</v>
      </c>
      <c r="B32" s="7">
        <v>0.89</v>
      </c>
      <c r="C32" s="8">
        <v>0.7995617861227</v>
      </c>
      <c r="D32" s="18">
        <f t="shared" si="2"/>
        <v>0.00347411975954407</v>
      </c>
      <c r="E32" s="7">
        <v>0</v>
      </c>
      <c r="F32" s="22">
        <v>0</v>
      </c>
      <c r="G32" s="23">
        <f t="shared" si="3"/>
        <v>0</v>
      </c>
      <c r="H32" s="16"/>
      <c r="I32" s="16"/>
      <c r="J32" s="28"/>
      <c r="K32" s="16"/>
      <c r="L32" s="16"/>
      <c r="M32" s="16"/>
    </row>
    <row r="33" customFormat="1" spans="1:13">
      <c r="A33" s="6" t="s">
        <v>33</v>
      </c>
      <c r="B33" s="7">
        <v>0.35</v>
      </c>
      <c r="C33" s="8">
        <v>0.593897429812815</v>
      </c>
      <c r="D33" s="18">
        <f t="shared" si="2"/>
        <v>0.00136622687173081</v>
      </c>
      <c r="E33" s="20">
        <v>0.8</v>
      </c>
      <c r="F33" s="8">
        <v>0.708860759493671</v>
      </c>
      <c r="G33" s="21">
        <f t="shared" si="3"/>
        <v>0.0038709053079789</v>
      </c>
      <c r="H33" s="16"/>
      <c r="I33" s="16"/>
      <c r="J33" s="28"/>
      <c r="K33" s="16"/>
      <c r="L33" s="16"/>
      <c r="M33" s="16"/>
    </row>
    <row r="34" customFormat="1" spans="1:13">
      <c r="A34" s="6" t="s">
        <v>34</v>
      </c>
      <c r="B34" s="7">
        <v>0.27</v>
      </c>
      <c r="C34" s="8">
        <v>0.833114239115286</v>
      </c>
      <c r="D34" s="18">
        <f t="shared" si="2"/>
        <v>0.00105394644390663</v>
      </c>
      <c r="E34" s="7">
        <v>0</v>
      </c>
      <c r="F34" s="22">
        <v>0</v>
      </c>
      <c r="G34" s="23">
        <f t="shared" si="3"/>
        <v>0</v>
      </c>
      <c r="H34" s="16"/>
      <c r="I34" s="24"/>
      <c r="J34" s="28"/>
      <c r="K34" s="16"/>
      <c r="L34" s="16"/>
      <c r="M34" s="11"/>
    </row>
    <row r="35" customFormat="1" spans="1:13">
      <c r="A35" s="6" t="s">
        <v>35</v>
      </c>
      <c r="B35" s="7"/>
      <c r="C35" s="18"/>
      <c r="D35" s="18"/>
      <c r="E35" s="20">
        <v>4.42</v>
      </c>
      <c r="F35" s="8">
        <f>[1]Sheet1!$E$4</f>
        <v>0.76</v>
      </c>
      <c r="G35" s="21">
        <f t="shared" si="3"/>
        <v>0.0213867518265834</v>
      </c>
      <c r="H35" s="16"/>
      <c r="I35" s="24"/>
      <c r="J35" s="28"/>
      <c r="K35" s="16"/>
      <c r="L35" s="16"/>
      <c r="M35" s="11"/>
    </row>
    <row r="36" customFormat="1" spans="1:13">
      <c r="A36" s="6" t="s">
        <v>36</v>
      </c>
      <c r="B36" s="7"/>
      <c r="C36" s="18"/>
      <c r="D36" s="18"/>
      <c r="E36" s="20">
        <v>0.24</v>
      </c>
      <c r="F36" s="8">
        <f>[1]Sheet1!$E$13</f>
        <v>0.71</v>
      </c>
      <c r="G36" s="21">
        <f t="shared" si="3"/>
        <v>0.00116127159239367</v>
      </c>
      <c r="H36" s="16"/>
      <c r="I36" s="24"/>
      <c r="J36" s="28"/>
      <c r="K36" s="16"/>
      <c r="L36" s="16"/>
      <c r="M36" s="11"/>
    </row>
    <row r="37" customFormat="1" spans="1:13">
      <c r="A37" s="6" t="s">
        <v>37</v>
      </c>
      <c r="B37" s="7"/>
      <c r="C37" s="18"/>
      <c r="D37" s="18"/>
      <c r="E37" s="20">
        <v>0.66</v>
      </c>
      <c r="F37" s="8">
        <f>[1]Sheet1!$E$11</f>
        <v>0.79</v>
      </c>
      <c r="G37" s="21">
        <f t="shared" si="3"/>
        <v>0.0031934968790826</v>
      </c>
      <c r="H37" s="16"/>
      <c r="I37" s="24"/>
      <c r="J37" s="28"/>
      <c r="K37" s="16"/>
      <c r="L37" s="16"/>
      <c r="M37" s="11"/>
    </row>
    <row r="38" customFormat="1" spans="1:13">
      <c r="A38" s="6" t="s">
        <v>38</v>
      </c>
      <c r="B38" s="7"/>
      <c r="C38" s="18"/>
      <c r="D38" s="18"/>
      <c r="E38" s="20">
        <f>0.09+0.07</f>
        <v>0.16</v>
      </c>
      <c r="F38" s="8">
        <v>0.75</v>
      </c>
      <c r="G38" s="21">
        <f t="shared" si="3"/>
        <v>0.000774181061595781</v>
      </c>
      <c r="H38" s="16"/>
      <c r="I38" s="24"/>
      <c r="J38" s="28"/>
      <c r="K38" s="16"/>
      <c r="L38" s="16"/>
      <c r="M38" s="11"/>
    </row>
    <row r="39" customFormat="1" spans="1:13">
      <c r="A39" s="6" t="s">
        <v>39</v>
      </c>
      <c r="B39" s="7"/>
      <c r="C39" s="18"/>
      <c r="D39" s="18"/>
      <c r="E39" s="20">
        <v>3.72</v>
      </c>
      <c r="F39" s="8">
        <f>[1]Sheet1!$E$5</f>
        <v>0.76</v>
      </c>
      <c r="G39" s="21">
        <f t="shared" si="3"/>
        <v>0.0179997096821019</v>
      </c>
      <c r="H39" s="16"/>
      <c r="I39" s="24"/>
      <c r="J39" s="28"/>
      <c r="K39" s="16"/>
      <c r="L39" s="16"/>
      <c r="M39" s="11"/>
    </row>
    <row r="40" customFormat="1" spans="1:13">
      <c r="A40" s="6" t="s">
        <v>40</v>
      </c>
      <c r="B40" s="7"/>
      <c r="C40" s="18"/>
      <c r="D40" s="18"/>
      <c r="E40" s="20">
        <v>1.11</v>
      </c>
      <c r="F40" s="8">
        <f>[1]Sheet1!$E$8</f>
        <v>0.72</v>
      </c>
      <c r="G40" s="21">
        <f t="shared" si="3"/>
        <v>0.00537088111482073</v>
      </c>
      <c r="H40" s="16"/>
      <c r="I40" s="24"/>
      <c r="J40" s="28"/>
      <c r="K40" s="16"/>
      <c r="L40" s="16"/>
      <c r="M40" s="11"/>
    </row>
    <row r="41" customFormat="1" spans="1:13">
      <c r="A41" s="6" t="s">
        <v>41</v>
      </c>
      <c r="B41" s="7"/>
      <c r="C41" s="18"/>
      <c r="D41" s="18"/>
      <c r="E41" s="20">
        <v>0.27</v>
      </c>
      <c r="F41" s="8">
        <f>[1]Sheet1!$E$12</f>
        <v>0.7</v>
      </c>
      <c r="G41" s="21">
        <f t="shared" si="3"/>
        <v>0.00130643054144288</v>
      </c>
      <c r="H41" s="16"/>
      <c r="I41" s="24"/>
      <c r="J41" s="28"/>
      <c r="K41" s="16"/>
      <c r="L41" s="16"/>
      <c r="M41" s="11"/>
    </row>
    <row r="42" customFormat="1" spans="1:13">
      <c r="A42" s="6" t="s">
        <v>19</v>
      </c>
      <c r="B42" s="7"/>
      <c r="C42" s="18"/>
      <c r="D42" s="18"/>
      <c r="E42" s="20">
        <v>0.95</v>
      </c>
      <c r="F42" s="22">
        <v>0</v>
      </c>
      <c r="G42" s="23">
        <v>0</v>
      </c>
      <c r="H42" s="16"/>
      <c r="I42" s="24"/>
      <c r="J42" s="28"/>
      <c r="K42" s="16"/>
      <c r="L42" s="16"/>
      <c r="M42" s="11"/>
    </row>
    <row r="43" customFormat="1" spans="1:13">
      <c r="A43" s="6" t="s">
        <v>42</v>
      </c>
      <c r="B43" s="7"/>
      <c r="C43" s="18"/>
      <c r="D43" s="18"/>
      <c r="E43" s="20"/>
      <c r="F43" s="8"/>
      <c r="G43" s="21"/>
      <c r="H43" s="16">
        <v>5.95</v>
      </c>
      <c r="I43" s="24">
        <v>0</v>
      </c>
      <c r="J43" s="11">
        <f>H43/H44</f>
        <v>1</v>
      </c>
      <c r="K43" s="16">
        <v>62.13</v>
      </c>
      <c r="L43" s="29">
        <v>0.21</v>
      </c>
      <c r="M43" s="11">
        <f>K43/K44</f>
        <v>1</v>
      </c>
    </row>
    <row r="44" customFormat="1" spans="1:13">
      <c r="A44" s="16" t="s">
        <v>21</v>
      </c>
      <c r="B44" s="24">
        <f>SUM(B24:B43)</f>
        <v>256.18</v>
      </c>
      <c r="C44" s="8"/>
      <c r="D44" s="25">
        <f>SUM(D24:D43)</f>
        <v>1</v>
      </c>
      <c r="E44" s="24">
        <f>SUM(E24:E43)</f>
        <v>206.67</v>
      </c>
      <c r="F44" s="16"/>
      <c r="G44" s="26">
        <f t="shared" ref="G44:K44" si="4">SUM(G24:G43)</f>
        <v>0.995403299946775</v>
      </c>
      <c r="H44" s="24">
        <f t="shared" si="4"/>
        <v>5.95</v>
      </c>
      <c r="I44" s="24">
        <v>0</v>
      </c>
      <c r="J44" s="28">
        <f t="shared" si="4"/>
        <v>1</v>
      </c>
      <c r="K44" s="24">
        <f t="shared" si="4"/>
        <v>62.13</v>
      </c>
      <c r="L44" s="24">
        <v>0</v>
      </c>
      <c r="M44" s="28">
        <f>SUM(M24:M43)</f>
        <v>1</v>
      </c>
    </row>
    <row r="51" spans="1:1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</sheetData>
  <mergeCells count="10">
    <mergeCell ref="B5:D5"/>
    <mergeCell ref="E5:G5"/>
    <mergeCell ref="H5:J5"/>
    <mergeCell ref="K5:M5"/>
    <mergeCell ref="B22:D22"/>
    <mergeCell ref="E22:G22"/>
    <mergeCell ref="H22:J22"/>
    <mergeCell ref="K22:M22"/>
    <mergeCell ref="A5:A6"/>
    <mergeCell ref="A22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收入和毛利明细表-天士力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李姿</cp:lastModifiedBy>
  <dcterms:created xsi:type="dcterms:W3CDTF">2025-07-11T09:47:00Z</dcterms:created>
  <dcterms:modified xsi:type="dcterms:W3CDTF">2025-07-22T01:38:14Z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07B4ADF889484DA7863629F7685158F5_11</vt:lpwstr>
  </property>
  <property fmtid="{D5CDD505-2E9C-101B-9397-08002B2CF9AE}" pid="3" name="KSOProductBuildVer">
    <vt:lpwstr>2052-12.1.0.21915</vt:lpwstr>
  </property>
</Properties>
</file>